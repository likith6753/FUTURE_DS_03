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Data" sheetId="1" state="visible" r:id="rId3"/>
    <sheet name="Funnel_Summary" sheetId="2" state="visible" r:id="rId4"/>
    <sheet name="Monthly_Trends" sheetId="3" state="visible" r:id="rId5"/>
    <sheet name="KPI_Dashboard" sheetId="4" state="visible" r:id="rId6"/>
    <sheet name="PowerBI_Guid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<sst xmlns="http://schemas.openxmlformats.org/spreadsheetml/2006/main" count="236" uniqueCount="129">
  <si>
    <t xml:space="preserve">Marketing Funnel — Raw Campaign Data  |  Q2 2025</t>
  </si>
  <si>
    <t xml:space="preserve">Month</t>
  </si>
  <si>
    <t xml:space="preserve">Channel</t>
  </si>
  <si>
    <t xml:space="preserve">Visitors</t>
  </si>
  <si>
    <t xml:space="preserve">Leads</t>
  </si>
  <si>
    <t xml:space="preserve">MQLs</t>
  </si>
  <si>
    <t xml:space="preserve">SQLs</t>
  </si>
  <si>
    <t xml:space="preserve">Customers</t>
  </si>
  <si>
    <t xml:space="preserve">Ad Spend ($)</t>
  </si>
  <si>
    <t xml:space="preserve">CPL ($)</t>
  </si>
  <si>
    <t xml:space="preserve">Revenue ($)</t>
  </si>
  <si>
    <t xml:space="preserve">Avg Deal ($)</t>
  </si>
  <si>
    <t xml:space="preserve">Lead Score</t>
  </si>
  <si>
    <t xml:space="preserve">Jan</t>
  </si>
  <si>
    <t xml:space="preserve">Paid Search</t>
  </si>
  <si>
    <t xml:space="preserve">Organic SEO</t>
  </si>
  <si>
    <t xml:space="preserve">Email</t>
  </si>
  <si>
    <t xml:space="preserve">Social</t>
  </si>
  <si>
    <t xml:space="preserve">Referral</t>
  </si>
  <si>
    <t xml:space="preserve">Direct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</si>
  <si>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</si>
  <si>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</si>
  <si>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</si>
  <si>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</si>
  <si>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</si>
  <si>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Marketing Funnel — Conversion Summary  |  Q2 2025</t>
  </si>
  <si>
    <t xml:space="preserve">▌  SECTION 1 — Overall Funnel Performance</t>
  </si>
  <si>
    <t xml:space="preserve">Funnel Stage</t>
  </si>
  <si>
    <t xml:space="preserve">Total Count</t>
  </si>
  <si>
    <t xml:space="preserve">% of Visitors</t>
  </si>
  <si>
    <t xml:space="preserve">Stage Conv. Rate</t>
  </si>
  <si>
    <t xml:space="preserve">Drop-off Rate</t>
  </si>
  <si>
    <t xml:space="preserve">Benchmark</t>
  </si>
  <si>
    <t xml:space="preserve">vs Benchmark</t>
  </si>
  <si>
    <t xml:space="preserve">Status</t>
  </si>
  <si>
    <t xml:space="preserve">100%</t>
  </si>
  <si>
    <t xml:space="preserve">—</t>
  </si>
  <si>
    <t xml:space="preserve">✅ Baseline</t>
  </si>
  <si>
    <t xml:space="preserve">8–12%</t>
  </si>
  <si>
    <t xml:space="preserve">25–35%</t>
  </si>
  <si>
    <t xml:space="preserve">35–45%</t>
  </si>
  <si>
    <t xml:space="preserve">▌  SECTION 2 — Channel Performance Breakdown</t>
  </si>
  <si>
    <t xml:space="preserve">Lead Conv %</t>
  </si>
  <si>
    <t xml:space="preserve">Cust Conv %</t>
  </si>
  <si>
    <t xml:space="preserve">Total Spend ($)</t>
  </si>
  <si>
    <t xml:space="preserve">ROI</t>
  </si>
  <si>
    <t xml:space="preserve">TOTAL</t>
  </si>
  <si>
    <t xml:space="preserve">Monthly Funnel Trends  |  Jan–Jun 2025</t>
  </si>
  <si>
    <t xml:space="preserve">MARKETING FUNNEL — EXECUTIVE KPI DASHBOARD  |  Q2 2025</t>
  </si>
  <si>
    <t xml:space="preserve">Total Visitors</t>
  </si>
  <si>
    <t xml:space="preserve">Total Leads</t>
  </si>
  <si>
    <t xml:space="preserve">Total MQLs</t>
  </si>
  <si>
    <t xml:space="preserve">Total SQLs</t>
  </si>
  <si>
    <t xml:space="preserve">MQL Rate</t>
  </si>
  <si>
    <t xml:space="preserve">SQL Rate</t>
  </si>
  <si>
    <t xml:space="preserve">Win Rate</t>
  </si>
  <si>
    <t xml:space="preserve">Total Revenue</t>
  </si>
  <si>
    <t xml:space="preserve">Total Ad Spend</t>
  </si>
  <si>
    <t xml:space="preserve">Blended CPL</t>
  </si>
  <si>
    <t xml:space="preserve">▌  Key Recommendations for Funnel Optimization</t>
  </si>
  <si>
    <t xml:space="preserve">Priority</t>
  </si>
  <si>
    <t xml:space="preserve">Issue / Opportunity</t>
  </si>
  <si>
    <t xml:space="preserve">Recommended Action</t>
  </si>
  <si>
    <t xml:space="preserve">🔴 CRITICAL</t>
  </si>
  <si>
    <t xml:space="preserve">Visitor → Lead: only 7.5%</t>
  </si>
  <si>
    <t xml:space="preserve">A/B test CTAs, reduce forms to ≤3 fields, add exit-intent popups — this is the highest-leverage fix</t>
  </si>
  <si>
    <t xml:space="preserve">🟡 HIGH</t>
  </si>
  <si>
    <t xml:space="preserve">Scale Paid Search budget</t>
  </si>
  <si>
    <t xml:space="preserve">Best conversion rate (11.2%). +30% budget → ~420 more leads/mo at $34 CPL — strong positive ROI</t>
  </si>
  <si>
    <t xml:space="preserve">Implement lead scoring</t>
  </si>
  <si>
    <t xml:space="preserve">70% of leads never reach MQL. Score on firmographics + page behavior to cut wasted nurture cycles</t>
  </si>
  <si>
    <t xml:space="preserve">🟢 MEDIUM</t>
  </si>
  <si>
    <t xml:space="preserve">Launch referral program</t>
  </si>
  <si>
    <t xml:space="preserve">Lowest CPL at $18, 9.8% conv rate. Structured incentive program could 2-3× referral volume</t>
  </si>
  <si>
    <t xml:space="preserve">🔵 LOW</t>
  </si>
  <si>
    <t xml:space="preserve">Review social channel spend</t>
  </si>
  <si>
    <t xml:space="preserve">Highest CPL ($75), lowest conv (4.3%). Reallocate to paid search or shift to organic-only social</t>
  </si>
  <si>
    <t xml:space="preserve">Power BI Connection &amp; DAX Guide — Marketing Funnel</t>
  </si>
  <si>
    <t xml:space="preserve">STEP</t>
  </si>
  <si>
    <t xml:space="preserve">ACTION</t>
  </si>
  <si>
    <t xml:space="preserve">DETAIL / CODE</t>
  </si>
  <si>
    <t xml:space="preserve">1</t>
  </si>
  <si>
    <t xml:space="preserve">Open Power BI Desktop</t>
  </si>
  <si>
    <t xml:space="preserve">Download free at powerbi.microsoft.com → Launch → click 'Get Data' on Home ribbon</t>
  </si>
  <si>
    <t xml:space="preserve">2</t>
  </si>
  <si>
    <t xml:space="preserve">Connect to this Excel</t>
  </si>
  <si>
    <t xml:space="preserve">Home → Get Data → Excel Workbook → browse to this file → click Open</t>
  </si>
  <si>
    <t xml:space="preserve">3</t>
  </si>
  <si>
    <t xml:space="preserve">Select tables</t>
  </si>
  <si>
    <t xml:space="preserve">In Navigator panel: check Raw_Data, Funnel_Summary, Monthly_Trends → click Load</t>
  </si>
  <si>
    <t xml:space="preserve">4</t>
  </si>
  <si>
    <t xml:space="preserve">Create relationships</t>
  </si>
  <si>
    <t xml:space="preserve">Go to Model view → drag Raw_Data[Month] to Monthly_Trends[Month]; drag Raw_Data[Channel] to Funnel_Summary channel column</t>
  </si>
  <si>
    <t xml:space="preserve">5</t>
  </si>
  <si>
    <t xml:space="preserve">Funnel visual</t>
  </si>
  <si>
    <t xml:space="preserve">Visualizations pane → Funnel chart → drag Visitors/Leads/MQLs/SQLs/Customers into Values from Funnel_Summary</t>
  </si>
  <si>
    <t xml:space="preserve">6</t>
  </si>
  <si>
    <t xml:space="preserve">Channel bar chart</t>
  </si>
  <si>
    <t xml:space="preserve">Clustered bar → Axis: Channel → Value: Lead Conv % or CPL from Funnel_Summary channel table</t>
  </si>
  <si>
    <t xml:space="preserve">7</t>
  </si>
  <si>
    <t xml:space="preserve">KPI cards</t>
  </si>
  <si>
    <t xml:space="preserve">KPI visual → Value: [Total Revenue] → Target: prior period value → repeat for Customers, CPL</t>
  </si>
  <si>
    <t xml:space="preserve">8</t>
  </si>
  <si>
    <t xml:space="preserve">Line trend chart</t>
  </si>
  <si>
    <t xml:space="preserve">Line chart → X-axis: Month → Values: Leads, Customers (from Monthly_Trends sheet)</t>
  </si>
  <si>
    <t xml:space="preserve">9</t>
  </si>
  <si>
    <t xml:space="preserve">Add slicers</t>
  </si>
  <si>
    <t xml:space="preserve">Slicer visual → Field: Month → Format: Dropdown; repeat for Channel</t>
  </si>
  <si>
    <t xml:space="preserve">10</t>
  </si>
  <si>
    <t xml:space="preserve">Conditional formatting</t>
  </si>
  <si>
    <t xml:space="preserve">Select channel table → Format → Conditional formatting on Lead Conv % → Color scale green-yellow-red</t>
  </si>
  <si>
    <t xml:space="preserve">11</t>
  </si>
  <si>
    <t xml:space="preserve">Publish to web</t>
  </si>
  <si>
    <t xml:space="preserve">File → Publish → Publish to Power BI → choose workspace → copy share URL for stakeholders</t>
  </si>
  <si>
    <t xml:space="preserve">DAX MEASURE</t>
  </si>
  <si>
    <t xml:space="preserve">NAME</t>
  </si>
  <si>
    <t xml:space="preserve">PASTE INTO: Home → New Measure</t>
  </si>
  <si>
    <t xml:space="preserve">Lead Conv Rate</t>
  </si>
  <si>
    <t xml:space="preserve">Lead Conv Rate = DIVIDE(SUM(Raw_Data[Leads]), SUM(Raw_Data[Visitors]))</t>
  </si>
  <si>
    <t xml:space="preserve">Cust Conv Rate</t>
  </si>
  <si>
    <t xml:space="preserve">Cust Conv Rate = DIVIDE(SUM(Raw_Data[Customers]), SUM(Raw_Data[Leads]))</t>
  </si>
  <si>
    <t xml:space="preserve">Total Revenue = SUM(Raw_Data[Revenue ($)])</t>
  </si>
  <si>
    <t xml:space="preserve">Blended CPL = DIVIDE(SUM(Raw_Data[Ad Spend ($)]), SUM(Raw_Data[Leads]))</t>
  </si>
  <si>
    <t xml:space="preserve">Channel ROI</t>
  </si>
  <si>
    <t xml:space="preserve">Channel ROI = DIVIDE(SUM(Raw_Data[Revenue ($)])-SUM(Raw_Data[Ad Spend ($)]),SUM(Raw_Data[Ad Spend ($)]))</t>
  </si>
  <si>
    <t xml:space="preserve">MoM Lead Growth</t>
  </si>
  <si>
    <t xml:space="preserve">MoM Growth = DIVIDE([Total Leads] - CALCULATE([Total Leads],PREVIOUSMONTH(Raw_Data[Month])),[Total Leads])</t>
  </si>
  <si>
    <t xml:space="preserve">Funnel Drop-off</t>
  </si>
  <si>
    <t xml:space="preserve">Drop Off % = 1 - [Lead Conv Rate]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</si>
</sst>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#,##0"/>
    <numFmt numFmtId="167" formatCode="0.0%"/>
    <numFmt numFmtId="168" formatCode="0.0\x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9"/>
      <color rgb="FF555555"/>
      <name val="Arial"/>
      <family val="0"/>
      <charset val="1"/>
    </font>
    <font>
      <b val="true"/>
      <sz val="20"/>
      <color rgb="FF1F4E79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b val="true"/>
      <sz val="20"/>
      <color rgb="FFC55A11"/>
      <name val="Arial"/>
      <family val="0"/>
      <charset val="1"/>
    </font>
    <font>
      <b val="true"/>
      <sz val="20"/>
      <color rgb="FF375623"/>
      <name val="Arial"/>
      <family val="0"/>
      <charset val="1"/>
    </font>
    <font>
      <b val="true"/>
      <sz val="20"/>
      <color rgb="FF7F6000"/>
      <name val="Arial"/>
      <family val="0"/>
      <charset val="1"/>
    </font>
    <font>
      <b val="true"/>
      <sz val="20"/>
      <color rgb="FF404040"/>
      <name val="Arial"/>
      <family val="0"/>
      <charset val="1"/>
    </font>
    <font>
      <b val="true"/>
      <sz val="20"/>
      <color rgb="FF1B5E20"/>
      <name val="Arial"/>
      <family val="0"/>
      <charset val="1"/>
    </font>
    <font>
      <b val="true"/>
      <sz val="20"/>
      <color rgb="FFE65100"/>
      <name val="Arial"/>
      <family val="0"/>
      <charset val="1"/>
    </font>
    <font>
      <b val="true"/>
      <sz val="20"/>
      <color rgb="FF4A148C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sz val="10"/>
      <color rgb="FF7F600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sz val="10"/>
      <color rgb="FF375623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color rgb="FF1F4E79"/>
      <name val="Arial"/>
      <family val="0"/>
      <charset val="1"/>
    </font>
    <font>
      <sz val="9"/>
      <color rgb="FF0D47A1"/>
      <name val="Courier New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0D2B55"/>
        <bgColor rgb="FF003300"/>
      </patternFill>
    </fill>
    <fill>
      <patternFill patternType="solid">
        <fgColor rgb="FF2E75B6"/>
        <bgColor rgb="FF008080"/>
      </patternFill>
    </fill>
    <fill>
      <patternFill patternType="solid">
        <fgColor rgb="FFFFFFFF"/>
        <bgColor rgb="FFF0F7FF"/>
      </patternFill>
    </fill>
    <fill>
      <patternFill patternType="solid">
        <fgColor rgb="FFF0F7FF"/>
        <bgColor rgb="FFEBF3FB"/>
      </patternFill>
    </fill>
    <fill>
      <patternFill patternType="solid">
        <fgColor rgb="FFEBF3FB"/>
        <bgColor rgb="FFF0F7FF"/>
      </patternFill>
    </fill>
    <fill>
      <patternFill patternType="solid">
        <fgColor rgb="FFDEEAF1"/>
        <bgColor rgb="FFEDEDED"/>
      </patternFill>
    </fill>
    <fill>
      <patternFill patternType="solid">
        <fgColor rgb="FFBDD7EE"/>
        <bgColor rgb="FFD9D9D9"/>
      </patternFill>
    </fill>
    <fill>
      <patternFill patternType="solid">
        <fgColor rgb="FF9DC3E6"/>
        <bgColor rgb="FFBFBFBF"/>
      </patternFill>
    </fill>
    <fill>
      <patternFill patternType="solid">
        <fgColor rgb="FF1F4E79"/>
        <bgColor rgb="FF0D47A1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E8F5E9"/>
      </patternFill>
    </fill>
    <fill>
      <patternFill patternType="solid">
        <fgColor rgb="FFFFF2CC"/>
        <bgColor rgb="FFFFF3E0"/>
      </patternFill>
    </fill>
    <fill>
      <patternFill patternType="solid">
        <fgColor rgb="FFEDEDED"/>
        <bgColor rgb="FFEBF3FB"/>
      </patternFill>
    </fill>
    <fill>
      <patternFill patternType="solid">
        <fgColor rgb="FFE8F5E9"/>
        <bgColor rgb="FFEBF3FB"/>
      </patternFill>
    </fill>
    <fill>
      <patternFill patternType="solid">
        <fgColor rgb="FFFFF3E0"/>
        <bgColor rgb="FFFFF2CC"/>
      </patternFill>
    </fill>
    <fill>
      <patternFill patternType="solid">
        <fgColor rgb="FFF3E5F5"/>
        <bgColor rgb="FFEDEDED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1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3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5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6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1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1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EDEDED"/>
      <rgbColor rgb="FFFF00FF"/>
      <rgbColor rgb="FF00FFFF"/>
      <rgbColor rgb="FF800000"/>
      <rgbColor rgb="FF1B5E20"/>
      <rgbColor rgb="FF000080"/>
      <rgbColor rgb="FF7F6000"/>
      <rgbColor rgb="FF800080"/>
      <rgbColor rgb="FF008080"/>
      <rgbColor rgb="FFBFBFBF"/>
      <rgbColor rgb="FF808080"/>
      <rgbColor rgb="FFDEEAF1"/>
      <rgbColor rgb="FF993366"/>
      <rgbColor rgb="FFFFF2CC"/>
      <rgbColor rgb="FFE8F5E9"/>
      <rgbColor rgb="FF4A148C"/>
      <rgbColor rgb="FFFF8080"/>
      <rgbColor rgb="FF0D47A1"/>
      <rgbColor rgb="FFBDD7EE"/>
      <rgbColor rgb="FF000080"/>
      <rgbColor rgb="FFFF00FF"/>
      <rgbColor rgb="FFF0F7FF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FF3E0"/>
      <rgbColor rgb="FF9DC3E6"/>
      <rgbColor rgb="FFF3E5F5"/>
      <rgbColor rgb="FFD9D9D9"/>
      <rgbColor rgb="FFFCE4D6"/>
      <rgbColor rgb="FF2E75B6"/>
      <rgbColor rgb="FF33CCCC"/>
      <rgbColor rgb="FF99CC00"/>
      <rgbColor rgb="FFFFCC00"/>
      <rgbColor rgb="FFFF9900"/>
      <rgbColor rgb="FFE65100"/>
      <rgbColor rgb="FF555555"/>
      <rgbColor rgb="FF969696"/>
      <rgbColor rgb="FF0D2B55"/>
      <rgbColor rgb="FF339966"/>
      <rgbColor rgb="FF003300"/>
      <rgbColor rgb="FF375623"/>
      <rgbColor rgb="FFC55A11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Funnel Volume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smooth val="1"/>
        </c:ser>
        <c:ser>
          <c:idx val="1"/>
          <c:order val="1"/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smooth val="1"/>
        </c:ser>
        <c:ser>
          <c:idx val="2"/>
          <c:order val="2"/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smooth val="1"/>
        </c:ser>
        <c:ser>
          <c:idx val="3"/>
          <c:order val="3"/>
          <c:spPr>
            <a:solidFill>
              <a:srgbClr val="7d5fa0"/>
            </a:solidFill>
            <a:ln w="47520">
              <a:solidFill>
                <a:srgbClr val="7d5fa0"/>
              </a:solidFill>
              <a:round/>
            </a:ln>
          </c:spPr>
          <c:marker>
            <c:symbol val="none"/>
          </c:marker>
          <c:smooth val="1"/>
        </c:ser>
        <c:hiLowLines>
          <c:spPr>
            <a:ln w="0">
              <a:noFill/>
            </a:ln>
          </c:spPr>
        </c:hiLowLines>
        <c:marker val="0"/>
        <c:axId val="36884072"/>
        <c:axId val="41407914"/>
      </c:lineChart>
      <c:catAx>
        <c:axId val="3688407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-409]mm/dd/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407914"/>
        <c:crosses val="autoZero"/>
        <c:auto val="1"/>
        <c:lblAlgn val="ctr"/>
        <c:lblOffset val="100"/>
        <c:noMultiLvlLbl val="0"/>
      </c:catAx>
      <c:valAx>
        <c:axId val="414079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8840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Conversion Rate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smooth val="1"/>
        </c:ser>
        <c:ser>
          <c:idx val="1"/>
          <c:order val="1"/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smooth val="1"/>
        </c:ser>
        <c:hiLowLines>
          <c:spPr>
            <a:ln w="0">
              <a:noFill/>
            </a:ln>
          </c:spPr>
        </c:hiLowLines>
        <c:marker val="0"/>
        <c:axId val="82501573"/>
        <c:axId val="81238894"/>
      </c:lineChart>
      <c:catAx>
        <c:axId val="82501573"/>
        <c:scaling>
          <c:orientation val="minMax"/>
        </c:scaling>
        <c:delete val="0"/>
        <c:axPos val="b"/>
        <c:numFmt formatCode="[$-409]mm/dd/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238894"/>
        <c:crosses val="autoZero"/>
        <c:auto val="1"/>
        <c:lblAlgn val="ctr"/>
        <c:lblOffset val="100"/>
        <c:noMultiLvlLbl val="0"/>
      </c:catAx>
      <c:valAx>
        <c:axId val="812388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Conv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5015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0</xdr:rowOff>
    </xdr:from>
    <xdr:to>
      <xdr:col>11</xdr:col>
      <xdr:colOff>78480</xdr:colOff>
      <xdr:row>34</xdr:row>
      <xdr:rowOff>107280</xdr:rowOff>
    </xdr:to>
    <xdr:graphicFrame>
      <xdr:nvGraphicFramePr>
        <xdr:cNvPr id="0" name="Chart 1"/>
        <xdr:cNvGraphicFramePr/>
      </xdr:nvGraphicFramePr>
      <xdr:xfrm>
        <a:off x="0" y="2647800"/>
        <a:ext cx="7199280" cy="46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27</xdr:row>
      <xdr:rowOff>0</xdr:rowOff>
    </xdr:from>
    <xdr:to>
      <xdr:col>11</xdr:col>
      <xdr:colOff>78480</xdr:colOff>
      <xdr:row>47</xdr:row>
      <xdr:rowOff>149040</xdr:rowOff>
    </xdr:to>
    <xdr:graphicFrame>
      <xdr:nvGraphicFramePr>
        <xdr:cNvPr id="1" name="Chart 2"/>
        <xdr:cNvGraphicFramePr/>
      </xdr:nvGraphicFramePr>
      <xdr:xfrm>
        <a:off x="0" y="5886360"/>
        <a:ext cx="719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3"/>
    <col collapsed="false" customWidth="true" hidden="false" outlineLevel="0" max="3" min="3" style="1" width="10"/>
    <col collapsed="false" customWidth="true" hidden="false" outlineLevel="0" max="6" min="4" style="1" width="8"/>
    <col collapsed="false" customWidth="true" hidden="false" outlineLevel="0" max="7" min="7" style="1" width="10"/>
    <col collapsed="false" customWidth="true" hidden="false" outlineLevel="0" max="8" min="8" style="1" width="12"/>
    <col collapsed="false" customWidth="true" hidden="false" outlineLevel="0" max="9" min="9" style="1" width="9"/>
    <col collapsed="false" customWidth="true" hidden="false" outlineLevel="0" max="10" min="10" style="1" width="12"/>
    <col collapsed="false" customWidth="true" hidden="false" outlineLevel="0" max="12" min="11" style="1" width="11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7.7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customFormat="false" ht="19.5" hidden="false" customHeight="true" outlineLevel="0" collapsed="false">
      <c r="A3" s="4" t="s">
        <v>13</v>
      </c>
      <c r="B3" s="4" t="s">
        <v>14</v>
      </c>
      <c r="C3" s="5" t="n">
        <v>12400</v>
      </c>
      <c r="D3" s="5" t="n">
        <v>930</v>
      </c>
      <c r="E3" s="5" t="n">
        <v>280</v>
      </c>
      <c r="F3" s="5" t="n">
        <v>112</v>
      </c>
      <c r="G3" s="5" t="n">
        <v>45</v>
      </c>
      <c r="H3" s="6" t="n">
        <v>31620</v>
      </c>
      <c r="I3" s="6" t="n">
        <v>34</v>
      </c>
      <c r="J3" s="6" t="n">
        <v>202500</v>
      </c>
      <c r="K3" s="6" t="n">
        <v>4500</v>
      </c>
      <c r="L3" s="5" t="n">
        <v>72</v>
      </c>
    </row>
    <row r="4" customFormat="false" ht="19.5" hidden="false" customHeight="true" outlineLevel="0" collapsed="false">
      <c r="A4" s="7" t="s">
        <v>13</v>
      </c>
      <c r="B4" s="7" t="s">
        <v>15</v>
      </c>
      <c r="C4" s="8" t="n">
        <v>8200</v>
      </c>
      <c r="D4" s="8" t="n">
        <v>688</v>
      </c>
      <c r="E4" s="8" t="n">
        <v>206</v>
      </c>
      <c r="F4" s="8" t="n">
        <v>82</v>
      </c>
      <c r="G4" s="8" t="n">
        <v>33</v>
      </c>
      <c r="H4" s="9" t="n">
        <v>18096</v>
      </c>
      <c r="I4" s="9" t="n">
        <v>26</v>
      </c>
      <c r="J4" s="9" t="n">
        <v>148500</v>
      </c>
      <c r="K4" s="9" t="n">
        <v>4500</v>
      </c>
      <c r="L4" s="8" t="n">
        <v>68</v>
      </c>
    </row>
    <row r="5" customFormat="false" ht="19.5" hidden="false" customHeight="true" outlineLevel="0" collapsed="false">
      <c r="A5" s="4" t="s">
        <v>13</v>
      </c>
      <c r="B5" s="4" t="s">
        <v>16</v>
      </c>
      <c r="C5" s="5" t="n">
        <v>5100</v>
      </c>
      <c r="D5" s="5" t="n">
        <v>362</v>
      </c>
      <c r="E5" s="5" t="n">
        <v>109</v>
      </c>
      <c r="F5" s="5" t="n">
        <v>44</v>
      </c>
      <c r="G5" s="5" t="n">
        <v>18</v>
      </c>
      <c r="H5" s="6" t="n">
        <v>4344</v>
      </c>
      <c r="I5" s="6" t="n">
        <v>12</v>
      </c>
      <c r="J5" s="6" t="n">
        <v>81000</v>
      </c>
      <c r="K5" s="6" t="n">
        <v>4500</v>
      </c>
      <c r="L5" s="5" t="n">
        <v>74</v>
      </c>
    </row>
    <row r="6" customFormat="false" ht="19.5" hidden="false" customHeight="true" outlineLevel="0" collapsed="false">
      <c r="A6" s="7" t="s">
        <v>13</v>
      </c>
      <c r="B6" s="7" t="s">
        <v>17</v>
      </c>
      <c r="C6" s="8" t="n">
        <v>3800</v>
      </c>
      <c r="D6" s="8" t="n">
        <v>163</v>
      </c>
      <c r="E6" s="8" t="n">
        <v>49</v>
      </c>
      <c r="F6" s="8" t="n">
        <v>20</v>
      </c>
      <c r="G6" s="8" t="n">
        <v>8</v>
      </c>
      <c r="H6" s="9" t="n">
        <v>12235</v>
      </c>
      <c r="I6" s="9" t="n">
        <v>75</v>
      </c>
      <c r="J6" s="9" t="n">
        <v>36000</v>
      </c>
      <c r="K6" s="9" t="n">
        <v>4500</v>
      </c>
      <c r="L6" s="8" t="n">
        <v>55</v>
      </c>
    </row>
    <row r="7" customFormat="false" ht="19.5" hidden="false" customHeight="true" outlineLevel="0" collapsed="false">
      <c r="A7" s="4" t="s">
        <v>13</v>
      </c>
      <c r="B7" s="4" t="s">
        <v>18</v>
      </c>
      <c r="C7" s="5" t="n">
        <v>1600</v>
      </c>
      <c r="D7" s="5" t="n">
        <v>157</v>
      </c>
      <c r="E7" s="5" t="n">
        <v>47</v>
      </c>
      <c r="F7" s="5" t="n">
        <v>19</v>
      </c>
      <c r="G7" s="5" t="n">
        <v>8</v>
      </c>
      <c r="H7" s="6" t="n">
        <v>2826</v>
      </c>
      <c r="I7" s="6" t="n">
        <v>18</v>
      </c>
      <c r="J7" s="6" t="n">
        <v>36000</v>
      </c>
      <c r="K7" s="6" t="n">
        <v>4500</v>
      </c>
      <c r="L7" s="5" t="n">
        <v>81</v>
      </c>
    </row>
    <row r="8" customFormat="false" ht="19.5" hidden="false" customHeight="true" outlineLevel="0" collapsed="false">
      <c r="A8" s="7" t="s">
        <v>13</v>
      </c>
      <c r="B8" s="7" t="s">
        <v>19</v>
      </c>
      <c r="C8" s="8" t="n">
        <v>2900</v>
      </c>
      <c r="D8" s="8" t="n">
        <v>162</v>
      </c>
      <c r="E8" s="8" t="n">
        <v>49</v>
      </c>
      <c r="F8" s="8" t="n">
        <v>19</v>
      </c>
      <c r="G8" s="8" t="n">
        <v>8</v>
      </c>
      <c r="H8" s="9" t="n">
        <v>0</v>
      </c>
      <c r="I8" s="9" t="n">
        <v>0</v>
      </c>
      <c r="J8" s="9" t="n">
        <v>36000</v>
      </c>
      <c r="K8" s="9" t="n">
        <v>4500</v>
      </c>
      <c r="L8" s="8" t="n">
        <v>62</v>
      </c>
    </row>
    <row r="9" customFormat="false" ht="19.5" hidden="false" customHeight="true" outlineLevel="0" collapsed="false">
      <c r="A9" s="4" t="s">
        <v>20</v>
      </c>
      <c r="B9" s="4" t="s">
        <v>14</v>
      </c>
      <c r="C9" s="5" t="n">
        <v>13100</v>
      </c>
      <c r="D9" s="5" t="n">
        <v>982</v>
      </c>
      <c r="E9" s="5" t="n">
        <v>295</v>
      </c>
      <c r="F9" s="5" t="n">
        <v>118</v>
      </c>
      <c r="G9" s="5" t="n">
        <v>47</v>
      </c>
      <c r="H9" s="6" t="n">
        <v>33388</v>
      </c>
      <c r="I9" s="6" t="n">
        <v>34</v>
      </c>
      <c r="J9" s="6" t="n">
        <v>211500</v>
      </c>
      <c r="K9" s="6" t="n">
        <v>4500</v>
      </c>
      <c r="L9" s="5" t="n">
        <v>73</v>
      </c>
    </row>
    <row r="10" customFormat="false" ht="19.5" hidden="false" customHeight="true" outlineLevel="0" collapsed="false">
      <c r="A10" s="7" t="s">
        <v>20</v>
      </c>
      <c r="B10" s="7" t="s">
        <v>15</v>
      </c>
      <c r="C10" s="8" t="n">
        <v>8700</v>
      </c>
      <c r="D10" s="8" t="n">
        <v>730</v>
      </c>
      <c r="E10" s="8" t="n">
        <v>219</v>
      </c>
      <c r="F10" s="8" t="n">
        <v>88</v>
      </c>
      <c r="G10" s="8" t="n">
        <v>35</v>
      </c>
      <c r="H10" s="9" t="n">
        <v>18980</v>
      </c>
      <c r="I10" s="9" t="n">
        <v>26</v>
      </c>
      <c r="J10" s="9" t="n">
        <v>157500</v>
      </c>
      <c r="K10" s="9" t="n">
        <v>4500</v>
      </c>
      <c r="L10" s="8" t="n">
        <v>69</v>
      </c>
    </row>
    <row r="11" customFormat="false" ht="19.5" hidden="false" customHeight="true" outlineLevel="0" collapsed="false">
      <c r="A11" s="4" t="s">
        <v>20</v>
      </c>
      <c r="B11" s="4" t="s">
        <v>16</v>
      </c>
      <c r="C11" s="5" t="n">
        <v>5400</v>
      </c>
      <c r="D11" s="5" t="n">
        <v>383</v>
      </c>
      <c r="E11" s="5" t="n">
        <v>115</v>
      </c>
      <c r="F11" s="5" t="n">
        <v>46</v>
      </c>
      <c r="G11" s="5" t="n">
        <v>18</v>
      </c>
      <c r="H11" s="6" t="n">
        <v>4596</v>
      </c>
      <c r="I11" s="6" t="n">
        <v>12</v>
      </c>
      <c r="J11" s="6" t="n">
        <v>81000</v>
      </c>
      <c r="K11" s="6" t="n">
        <v>4500</v>
      </c>
      <c r="L11" s="5" t="n">
        <v>75</v>
      </c>
    </row>
    <row r="12" customFormat="false" ht="19.5" hidden="false" customHeight="true" outlineLevel="0" collapsed="false">
      <c r="A12" s="7" t="s">
        <v>20</v>
      </c>
      <c r="B12" s="7" t="s">
        <v>17</v>
      </c>
      <c r="C12" s="8" t="n">
        <v>4000</v>
      </c>
      <c r="D12" s="8" t="n">
        <v>172</v>
      </c>
      <c r="E12" s="8" t="n">
        <v>52</v>
      </c>
      <c r="F12" s="8" t="n">
        <v>21</v>
      </c>
      <c r="G12" s="8" t="n">
        <v>8</v>
      </c>
      <c r="H12" s="9" t="n">
        <v>12900</v>
      </c>
      <c r="I12" s="9" t="n">
        <v>75</v>
      </c>
      <c r="J12" s="9" t="n">
        <v>36000</v>
      </c>
      <c r="K12" s="9" t="n">
        <v>4500</v>
      </c>
      <c r="L12" s="8" t="n">
        <v>56</v>
      </c>
    </row>
    <row r="13" customFormat="false" ht="19.5" hidden="false" customHeight="true" outlineLevel="0" collapsed="false">
      <c r="A13" s="4" t="s">
        <v>20</v>
      </c>
      <c r="B13" s="4" t="s">
        <v>18</v>
      </c>
      <c r="C13" s="5" t="n">
        <v>1700</v>
      </c>
      <c r="D13" s="5" t="n">
        <v>166</v>
      </c>
      <c r="E13" s="5" t="n">
        <v>50</v>
      </c>
      <c r="F13" s="5" t="n">
        <v>20</v>
      </c>
      <c r="G13" s="5" t="n">
        <v>8</v>
      </c>
      <c r="H13" s="6" t="n">
        <v>2988</v>
      </c>
      <c r="I13" s="6" t="n">
        <v>18</v>
      </c>
      <c r="J13" s="6" t="n">
        <v>36000</v>
      </c>
      <c r="K13" s="6" t="n">
        <v>4500</v>
      </c>
      <c r="L13" s="5" t="n">
        <v>82</v>
      </c>
    </row>
    <row r="14" customFormat="false" ht="19.5" hidden="false" customHeight="true" outlineLevel="0" collapsed="false">
      <c r="A14" s="7" t="s">
        <v>20</v>
      </c>
      <c r="B14" s="7" t="s">
        <v>19</v>
      </c>
      <c r="C14" s="8" t="n">
        <v>3100</v>
      </c>
      <c r="D14" s="8" t="n">
        <v>174</v>
      </c>
      <c r="E14" s="8" t="n">
        <v>52</v>
      </c>
      <c r="F14" s="8" t="n">
        <v>21</v>
      </c>
      <c r="G14" s="8" t="n">
        <v>8</v>
      </c>
      <c r="H14" s="9" t="n">
        <v>0</v>
      </c>
      <c r="I14" s="9" t="n">
        <v>0</v>
      </c>
      <c r="J14" s="9" t="n">
        <v>36000</v>
      </c>
      <c r="K14" s="9" t="n">
        <v>4500</v>
      </c>
      <c r="L14" s="8" t="n">
        <v>63</v>
      </c>
    </row>
    <row r="15" customFormat="false" ht="19.5" hidden="false" customHeight="true" outlineLevel="0" collapsed="false">
      <c r="A15" s="4" t="s">
        <v>21</v>
      </c>
      <c r="B15" s="4" t="s">
        <v>14</v>
      </c>
      <c r="C15" s="5" t="n">
        <v>13800</v>
      </c>
      <c r="D15" s="5" t="n">
        <v>1035</v>
      </c>
      <c r="E15" s="5" t="n">
        <v>311</v>
      </c>
      <c r="F15" s="5" t="n">
        <v>124</v>
      </c>
      <c r="G15" s="5" t="n">
        <v>50</v>
      </c>
      <c r="H15" s="6" t="n">
        <v>35190</v>
      </c>
      <c r="I15" s="6" t="n">
        <v>34</v>
      </c>
      <c r="J15" s="6" t="n">
        <v>225000</v>
      </c>
      <c r="K15" s="6" t="n">
        <v>4500</v>
      </c>
      <c r="L15" s="5" t="n">
        <v>73</v>
      </c>
    </row>
    <row r="16" customFormat="false" ht="19.5" hidden="false" customHeight="true" outlineLevel="0" collapsed="false">
      <c r="A16" s="7" t="s">
        <v>21</v>
      </c>
      <c r="B16" s="7" t="s">
        <v>15</v>
      </c>
      <c r="C16" s="8" t="n">
        <v>9200</v>
      </c>
      <c r="D16" s="8" t="n">
        <v>773</v>
      </c>
      <c r="E16" s="8" t="n">
        <v>232</v>
      </c>
      <c r="F16" s="8" t="n">
        <v>93</v>
      </c>
      <c r="G16" s="8" t="n">
        <v>37</v>
      </c>
      <c r="H16" s="9" t="n">
        <v>20098</v>
      </c>
      <c r="I16" s="9" t="n">
        <v>26</v>
      </c>
      <c r="J16" s="9" t="n">
        <v>166500</v>
      </c>
      <c r="K16" s="9" t="n">
        <v>4500</v>
      </c>
      <c r="L16" s="8" t="n">
        <v>69</v>
      </c>
    </row>
    <row r="17" customFormat="false" ht="19.5" hidden="false" customHeight="true" outlineLevel="0" collapsed="false">
      <c r="A17" s="4" t="s">
        <v>21</v>
      </c>
      <c r="B17" s="4" t="s">
        <v>16</v>
      </c>
      <c r="C17" s="5" t="n">
        <v>5700</v>
      </c>
      <c r="D17" s="5" t="n">
        <v>405</v>
      </c>
      <c r="E17" s="5" t="n">
        <v>122</v>
      </c>
      <c r="F17" s="5" t="n">
        <v>49</v>
      </c>
      <c r="G17" s="5" t="n">
        <v>20</v>
      </c>
      <c r="H17" s="6" t="n">
        <v>4860</v>
      </c>
      <c r="I17" s="6" t="n">
        <v>12</v>
      </c>
      <c r="J17" s="6" t="n">
        <v>90000</v>
      </c>
      <c r="K17" s="6" t="n">
        <v>4500</v>
      </c>
      <c r="L17" s="5" t="n">
        <v>75</v>
      </c>
    </row>
    <row r="18" customFormat="false" ht="19.5" hidden="false" customHeight="true" outlineLevel="0" collapsed="false">
      <c r="A18" s="7" t="s">
        <v>21</v>
      </c>
      <c r="B18" s="7" t="s">
        <v>17</v>
      </c>
      <c r="C18" s="8" t="n">
        <v>4200</v>
      </c>
      <c r="D18" s="8" t="n">
        <v>181</v>
      </c>
      <c r="E18" s="8" t="n">
        <v>54</v>
      </c>
      <c r="F18" s="8" t="n">
        <v>22</v>
      </c>
      <c r="G18" s="8" t="n">
        <v>9</v>
      </c>
      <c r="H18" s="9" t="n">
        <v>13545</v>
      </c>
      <c r="I18" s="9" t="n">
        <v>75</v>
      </c>
      <c r="J18" s="9" t="n">
        <v>40500</v>
      </c>
      <c r="K18" s="9" t="n">
        <v>4500</v>
      </c>
      <c r="L18" s="8" t="n">
        <v>56</v>
      </c>
    </row>
    <row r="19" customFormat="false" ht="19.5" hidden="false" customHeight="true" outlineLevel="0" collapsed="false">
      <c r="A19" s="4" t="s">
        <v>21</v>
      </c>
      <c r="B19" s="4" t="s">
        <v>18</v>
      </c>
      <c r="C19" s="5" t="n">
        <v>1800</v>
      </c>
      <c r="D19" s="5" t="n">
        <v>176</v>
      </c>
      <c r="E19" s="5" t="n">
        <v>53</v>
      </c>
      <c r="F19" s="5" t="n">
        <v>21</v>
      </c>
      <c r="G19" s="5" t="n">
        <v>8</v>
      </c>
      <c r="H19" s="6" t="n">
        <v>3168</v>
      </c>
      <c r="I19" s="6" t="n">
        <v>18</v>
      </c>
      <c r="J19" s="6" t="n">
        <v>36000</v>
      </c>
      <c r="K19" s="6" t="n">
        <v>4500</v>
      </c>
      <c r="L19" s="5" t="n">
        <v>82</v>
      </c>
    </row>
    <row r="20" customFormat="false" ht="19.5" hidden="false" customHeight="true" outlineLevel="0" collapsed="false">
      <c r="A20" s="7" t="s">
        <v>21</v>
      </c>
      <c r="B20" s="7" t="s">
        <v>19</v>
      </c>
      <c r="C20" s="8" t="n">
        <v>3300</v>
      </c>
      <c r="D20" s="8" t="n">
        <v>185</v>
      </c>
      <c r="E20" s="8" t="n">
        <v>56</v>
      </c>
      <c r="F20" s="8" t="n">
        <v>22</v>
      </c>
      <c r="G20" s="8" t="n">
        <v>9</v>
      </c>
      <c r="H20" s="9" t="n">
        <v>0</v>
      </c>
      <c r="I20" s="9" t="n">
        <v>0</v>
      </c>
      <c r="J20" s="9" t="n">
        <v>40500</v>
      </c>
      <c r="K20" s="9" t="n">
        <v>4500</v>
      </c>
      <c r="L20" s="8" t="n">
        <v>63</v>
      </c>
    </row>
    <row r="21" customFormat="false" ht="19.5" hidden="false" customHeight="true" outlineLevel="0" collapsed="false">
      <c r="A21" s="4" t="s">
        <v>22</v>
      </c>
      <c r="B21" s="4" t="s">
        <v>14</v>
      </c>
      <c r="C21" s="5" t="n">
        <v>14300</v>
      </c>
      <c r="D21" s="5" t="n">
        <v>1073</v>
      </c>
      <c r="E21" s="5" t="n">
        <v>322</v>
      </c>
      <c r="F21" s="5" t="n">
        <v>129</v>
      </c>
      <c r="G21" s="5" t="n">
        <v>52</v>
      </c>
      <c r="H21" s="6" t="n">
        <v>36482</v>
      </c>
      <c r="I21" s="6" t="n">
        <v>34</v>
      </c>
      <c r="J21" s="6" t="n">
        <v>234000</v>
      </c>
      <c r="K21" s="6" t="n">
        <v>4500</v>
      </c>
      <c r="L21" s="5" t="n">
        <v>74</v>
      </c>
    </row>
    <row r="22" customFormat="false" ht="19.5" hidden="false" customHeight="true" outlineLevel="0" collapsed="false">
      <c r="A22" s="7" t="s">
        <v>22</v>
      </c>
      <c r="B22" s="7" t="s">
        <v>15</v>
      </c>
      <c r="C22" s="8" t="n">
        <v>9600</v>
      </c>
      <c r="D22" s="8" t="n">
        <v>806</v>
      </c>
      <c r="E22" s="8" t="n">
        <v>242</v>
      </c>
      <c r="F22" s="8" t="n">
        <v>97</v>
      </c>
      <c r="G22" s="8" t="n">
        <v>39</v>
      </c>
      <c r="H22" s="9" t="n">
        <v>20956</v>
      </c>
      <c r="I22" s="9" t="n">
        <v>26</v>
      </c>
      <c r="J22" s="9" t="n">
        <v>175500</v>
      </c>
      <c r="K22" s="9" t="n">
        <v>4500</v>
      </c>
      <c r="L22" s="8" t="n">
        <v>70</v>
      </c>
    </row>
    <row r="23" customFormat="false" ht="19.5" hidden="false" customHeight="true" outlineLevel="0" collapsed="false">
      <c r="A23" s="4" t="s">
        <v>22</v>
      </c>
      <c r="B23" s="4" t="s">
        <v>16</v>
      </c>
      <c r="C23" s="5" t="n">
        <v>5900</v>
      </c>
      <c r="D23" s="5" t="n">
        <v>419</v>
      </c>
      <c r="E23" s="5" t="n">
        <v>126</v>
      </c>
      <c r="F23" s="5" t="n">
        <v>50</v>
      </c>
      <c r="G23" s="5" t="n">
        <v>20</v>
      </c>
      <c r="H23" s="6" t="n">
        <v>5028</v>
      </c>
      <c r="I23" s="6" t="n">
        <v>12</v>
      </c>
      <c r="J23" s="6" t="n">
        <v>90000</v>
      </c>
      <c r="K23" s="6" t="n">
        <v>4500</v>
      </c>
      <c r="L23" s="5" t="n">
        <v>76</v>
      </c>
    </row>
    <row r="24" customFormat="false" ht="19.5" hidden="false" customHeight="true" outlineLevel="0" collapsed="false">
      <c r="A24" s="7" t="s">
        <v>22</v>
      </c>
      <c r="B24" s="7" t="s">
        <v>17</v>
      </c>
      <c r="C24" s="8" t="n">
        <v>4400</v>
      </c>
      <c r="D24" s="8" t="n">
        <v>189</v>
      </c>
      <c r="E24" s="8" t="n">
        <v>57</v>
      </c>
      <c r="F24" s="8" t="n">
        <v>23</v>
      </c>
      <c r="G24" s="8" t="n">
        <v>9</v>
      </c>
      <c r="H24" s="9" t="n">
        <v>14175</v>
      </c>
      <c r="I24" s="9" t="n">
        <v>75</v>
      </c>
      <c r="J24" s="9" t="n">
        <v>40500</v>
      </c>
      <c r="K24" s="9" t="n">
        <v>4500</v>
      </c>
      <c r="L24" s="8" t="n">
        <v>57</v>
      </c>
    </row>
    <row r="25" customFormat="false" ht="19.5" hidden="false" customHeight="true" outlineLevel="0" collapsed="false">
      <c r="A25" s="4" t="s">
        <v>22</v>
      </c>
      <c r="B25" s="4" t="s">
        <v>18</v>
      </c>
      <c r="C25" s="5" t="n">
        <v>1900</v>
      </c>
      <c r="D25" s="5" t="n">
        <v>186</v>
      </c>
      <c r="E25" s="5" t="n">
        <v>56</v>
      </c>
      <c r="F25" s="5" t="n">
        <v>22</v>
      </c>
      <c r="G25" s="5" t="n">
        <v>9</v>
      </c>
      <c r="H25" s="6" t="n">
        <v>3348</v>
      </c>
      <c r="I25" s="6" t="n">
        <v>18</v>
      </c>
      <c r="J25" s="6" t="n">
        <v>40500</v>
      </c>
      <c r="K25" s="6" t="n">
        <v>4500</v>
      </c>
      <c r="L25" s="5" t="n">
        <v>83</v>
      </c>
    </row>
    <row r="26" customFormat="false" ht="19.5" hidden="false" customHeight="true" outlineLevel="0" collapsed="false">
      <c r="A26" s="7" t="s">
        <v>22</v>
      </c>
      <c r="B26" s="7" t="s">
        <v>19</v>
      </c>
      <c r="C26" s="8" t="n">
        <v>3400</v>
      </c>
      <c r="D26" s="8" t="n">
        <v>190</v>
      </c>
      <c r="E26" s="8" t="n">
        <v>57</v>
      </c>
      <c r="F26" s="8" t="n">
        <v>23</v>
      </c>
      <c r="G26" s="8" t="n">
        <v>9</v>
      </c>
      <c r="H26" s="9" t="n">
        <v>0</v>
      </c>
      <c r="I26" s="9" t="n">
        <v>0</v>
      </c>
      <c r="J26" s="9" t="n">
        <v>40500</v>
      </c>
      <c r="K26" s="9" t="n">
        <v>4500</v>
      </c>
      <c r="L26" s="8" t="n">
        <v>64</v>
      </c>
    </row>
    <row r="27" customFormat="false" ht="19.5" hidden="false" customHeight="true" outlineLevel="0" collapsed="false">
      <c r="A27" s="4" t="s">
        <v>23</v>
      </c>
      <c r="B27" s="4" t="s">
        <v>14</v>
      </c>
      <c r="C27" s="5" t="n">
        <v>15000</v>
      </c>
      <c r="D27" s="5" t="n">
        <v>1125</v>
      </c>
      <c r="E27" s="5" t="n">
        <v>338</v>
      </c>
      <c r="F27" s="5" t="n">
        <v>135</v>
      </c>
      <c r="G27" s="5" t="n">
        <v>54</v>
      </c>
      <c r="H27" s="6" t="n">
        <v>38250</v>
      </c>
      <c r="I27" s="6" t="n">
        <v>34</v>
      </c>
      <c r="J27" s="6" t="n">
        <v>243000</v>
      </c>
      <c r="K27" s="6" t="n">
        <v>4500</v>
      </c>
      <c r="L27" s="5" t="n">
        <v>74</v>
      </c>
    </row>
    <row r="28" customFormat="false" ht="19.5" hidden="false" customHeight="true" outlineLevel="0" collapsed="false">
      <c r="A28" s="7" t="s">
        <v>23</v>
      </c>
      <c r="B28" s="7" t="s">
        <v>15</v>
      </c>
      <c r="C28" s="8" t="n">
        <v>10100</v>
      </c>
      <c r="D28" s="8" t="n">
        <v>848</v>
      </c>
      <c r="E28" s="8" t="n">
        <v>254</v>
      </c>
      <c r="F28" s="8" t="n">
        <v>102</v>
      </c>
      <c r="G28" s="8" t="n">
        <v>41</v>
      </c>
      <c r="H28" s="9" t="n">
        <v>22048</v>
      </c>
      <c r="I28" s="9" t="n">
        <v>26</v>
      </c>
      <c r="J28" s="9" t="n">
        <v>184500</v>
      </c>
      <c r="K28" s="9" t="n">
        <v>4500</v>
      </c>
      <c r="L28" s="8" t="n">
        <v>70</v>
      </c>
    </row>
    <row r="29" customFormat="false" ht="19.5" hidden="false" customHeight="true" outlineLevel="0" collapsed="false">
      <c r="A29" s="4" t="s">
        <v>23</v>
      </c>
      <c r="B29" s="4" t="s">
        <v>16</v>
      </c>
      <c r="C29" s="5" t="n">
        <v>6200</v>
      </c>
      <c r="D29" s="5" t="n">
        <v>440</v>
      </c>
      <c r="E29" s="5" t="n">
        <v>132</v>
      </c>
      <c r="F29" s="5" t="n">
        <v>53</v>
      </c>
      <c r="G29" s="5" t="n">
        <v>21</v>
      </c>
      <c r="H29" s="6" t="n">
        <v>5280</v>
      </c>
      <c r="I29" s="6" t="n">
        <v>12</v>
      </c>
      <c r="J29" s="6" t="n">
        <v>94500</v>
      </c>
      <c r="K29" s="6" t="n">
        <v>4500</v>
      </c>
      <c r="L29" s="5" t="n">
        <v>76</v>
      </c>
    </row>
    <row r="30" customFormat="false" ht="19.5" hidden="false" customHeight="true" outlineLevel="0" collapsed="false">
      <c r="A30" s="7" t="s">
        <v>23</v>
      </c>
      <c r="B30" s="7" t="s">
        <v>17</v>
      </c>
      <c r="C30" s="8" t="n">
        <v>4600</v>
      </c>
      <c r="D30" s="8" t="n">
        <v>198</v>
      </c>
      <c r="E30" s="8" t="n">
        <v>59</v>
      </c>
      <c r="F30" s="8" t="n">
        <v>24</v>
      </c>
      <c r="G30" s="8" t="n">
        <v>9</v>
      </c>
      <c r="H30" s="9" t="n">
        <v>14850</v>
      </c>
      <c r="I30" s="9" t="n">
        <v>75</v>
      </c>
      <c r="J30" s="9" t="n">
        <v>40500</v>
      </c>
      <c r="K30" s="9" t="n">
        <v>4500</v>
      </c>
      <c r="L30" s="8" t="n">
        <v>57</v>
      </c>
    </row>
    <row r="31" customFormat="false" ht="19.5" hidden="false" customHeight="true" outlineLevel="0" collapsed="false">
      <c r="A31" s="4" t="s">
        <v>23</v>
      </c>
      <c r="B31" s="4" t="s">
        <v>18</v>
      </c>
      <c r="C31" s="5" t="n">
        <v>2000</v>
      </c>
      <c r="D31" s="5" t="n">
        <v>196</v>
      </c>
      <c r="E31" s="5" t="n">
        <v>59</v>
      </c>
      <c r="F31" s="5" t="n">
        <v>24</v>
      </c>
      <c r="G31" s="5" t="n">
        <v>9</v>
      </c>
      <c r="H31" s="6" t="n">
        <v>3528</v>
      </c>
      <c r="I31" s="6" t="n">
        <v>18</v>
      </c>
      <c r="J31" s="6" t="n">
        <v>40500</v>
      </c>
      <c r="K31" s="6" t="n">
        <v>4500</v>
      </c>
      <c r="L31" s="5" t="n">
        <v>83</v>
      </c>
    </row>
    <row r="32" customFormat="false" ht="19.5" hidden="false" customHeight="true" outlineLevel="0" collapsed="false">
      <c r="A32" s="7" t="s">
        <v>23</v>
      </c>
      <c r="B32" s="7" t="s">
        <v>19</v>
      </c>
      <c r="C32" s="8" t="n">
        <v>3600</v>
      </c>
      <c r="D32" s="8" t="n">
        <v>201</v>
      </c>
      <c r="E32" s="8" t="n">
        <v>60</v>
      </c>
      <c r="F32" s="8" t="n">
        <v>24</v>
      </c>
      <c r="G32" s="8" t="n">
        <v>10</v>
      </c>
      <c r="H32" s="9" t="n">
        <v>0</v>
      </c>
      <c r="I32" s="9" t="n">
        <v>0</v>
      </c>
      <c r="J32" s="9" t="n">
        <v>45000</v>
      </c>
      <c r="K32" s="9" t="n">
        <v>4500</v>
      </c>
      <c r="L32" s="8" t="n">
        <v>64</v>
      </c>
    </row>
    <row r="33" customFormat="false" ht="19.5" hidden="false" customHeight="true" outlineLevel="0" collapsed="false">
      <c r="A33" s="4" t="s">
        <v>24</v>
      </c>
      <c r="B33" s="4" t="s">
        <v>14</v>
      </c>
      <c r="C33" s="5" t="n">
        <v>15800</v>
      </c>
      <c r="D33" s="5" t="n">
        <v>1185</v>
      </c>
      <c r="E33" s="5" t="n">
        <v>356</v>
      </c>
      <c r="F33" s="5" t="n">
        <v>142</v>
      </c>
      <c r="G33" s="5" t="n">
        <v>57</v>
      </c>
      <c r="H33" s="6" t="n">
        <v>40290</v>
      </c>
      <c r="I33" s="6" t="n">
        <v>34</v>
      </c>
      <c r="J33" s="6" t="n">
        <v>256500</v>
      </c>
      <c r="K33" s="6" t="n">
        <v>4500</v>
      </c>
      <c r="L33" s="5" t="n">
        <v>75</v>
      </c>
    </row>
    <row r="34" customFormat="false" ht="19.5" hidden="false" customHeight="true" outlineLevel="0" collapsed="false">
      <c r="A34" s="7" t="s">
        <v>24</v>
      </c>
      <c r="B34" s="7" t="s">
        <v>15</v>
      </c>
      <c r="C34" s="8" t="n">
        <v>10600</v>
      </c>
      <c r="D34" s="8" t="n">
        <v>890</v>
      </c>
      <c r="E34" s="8" t="n">
        <v>267</v>
      </c>
      <c r="F34" s="8" t="n">
        <v>107</v>
      </c>
      <c r="G34" s="8" t="n">
        <v>43</v>
      </c>
      <c r="H34" s="9" t="n">
        <v>23140</v>
      </c>
      <c r="I34" s="9" t="n">
        <v>26</v>
      </c>
      <c r="J34" s="9" t="n">
        <v>193500</v>
      </c>
      <c r="K34" s="9" t="n">
        <v>4500</v>
      </c>
      <c r="L34" s="8" t="n">
        <v>71</v>
      </c>
    </row>
    <row r="35" customFormat="false" ht="19.5" hidden="false" customHeight="true" outlineLevel="0" collapsed="false">
      <c r="A35" s="4" t="s">
        <v>24</v>
      </c>
      <c r="B35" s="4" t="s">
        <v>16</v>
      </c>
      <c r="C35" s="5" t="n">
        <v>6500</v>
      </c>
      <c r="D35" s="5" t="n">
        <v>462</v>
      </c>
      <c r="E35" s="5" t="n">
        <v>139</v>
      </c>
      <c r="F35" s="5" t="n">
        <v>56</v>
      </c>
      <c r="G35" s="5" t="n">
        <v>22</v>
      </c>
      <c r="H35" s="6" t="n">
        <v>5544</v>
      </c>
      <c r="I35" s="6" t="n">
        <v>12</v>
      </c>
      <c r="J35" s="6" t="n">
        <v>99000</v>
      </c>
      <c r="K35" s="6" t="n">
        <v>4500</v>
      </c>
      <c r="L35" s="5" t="n">
        <v>77</v>
      </c>
    </row>
    <row r="36" customFormat="false" ht="19.5" hidden="false" customHeight="true" outlineLevel="0" collapsed="false">
      <c r="A36" s="7" t="s">
        <v>24</v>
      </c>
      <c r="B36" s="7" t="s">
        <v>17</v>
      </c>
      <c r="C36" s="8" t="n">
        <v>4800</v>
      </c>
      <c r="D36" s="8" t="n">
        <v>206</v>
      </c>
      <c r="E36" s="8" t="n">
        <v>62</v>
      </c>
      <c r="F36" s="8" t="n">
        <v>25</v>
      </c>
      <c r="G36" s="8" t="n">
        <v>10</v>
      </c>
      <c r="H36" s="9" t="n">
        <v>15450</v>
      </c>
      <c r="I36" s="9" t="n">
        <v>75</v>
      </c>
      <c r="J36" s="9" t="n">
        <v>45000</v>
      </c>
      <c r="K36" s="9" t="n">
        <v>4500</v>
      </c>
      <c r="L36" s="8" t="n">
        <v>58</v>
      </c>
    </row>
    <row r="37" customFormat="false" ht="19.5" hidden="false" customHeight="true" outlineLevel="0" collapsed="false">
      <c r="A37" s="4" t="s">
        <v>24</v>
      </c>
      <c r="B37" s="4" t="s">
        <v>18</v>
      </c>
      <c r="C37" s="5" t="n">
        <v>2100</v>
      </c>
      <c r="D37" s="5" t="n">
        <v>205</v>
      </c>
      <c r="E37" s="5" t="n">
        <v>62</v>
      </c>
      <c r="F37" s="5" t="n">
        <v>25</v>
      </c>
      <c r="G37" s="5" t="n">
        <v>10</v>
      </c>
      <c r="H37" s="6" t="n">
        <v>3690</v>
      </c>
      <c r="I37" s="6" t="n">
        <v>18</v>
      </c>
      <c r="J37" s="6" t="n">
        <v>45000</v>
      </c>
      <c r="K37" s="6" t="n">
        <v>4500</v>
      </c>
      <c r="L37" s="5" t="n">
        <v>84</v>
      </c>
    </row>
    <row r="38" customFormat="false" ht="19.5" hidden="false" customHeight="true" outlineLevel="0" collapsed="false">
      <c r="A38" s="7" t="s">
        <v>24</v>
      </c>
      <c r="B38" s="7" t="s">
        <v>19</v>
      </c>
      <c r="C38" s="8" t="n">
        <v>3700</v>
      </c>
      <c r="D38" s="8" t="n">
        <v>207</v>
      </c>
      <c r="E38" s="8" t="n">
        <v>62</v>
      </c>
      <c r="F38" s="8" t="n">
        <v>25</v>
      </c>
      <c r="G38" s="8" t="n">
        <v>10</v>
      </c>
      <c r="H38" s="9" t="n">
        <v>0</v>
      </c>
      <c r="I38" s="9" t="n">
        <v>0</v>
      </c>
      <c r="J38" s="9" t="n">
        <v>45000</v>
      </c>
      <c r="K38" s="9" t="n">
        <v>4500</v>
      </c>
      <c r="L38" s="8" t="n">
        <v>65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8"/>
    <col collapsed="false" customWidth="true" hidden="false" outlineLevel="0" max="6" min="4" style="1" width="10"/>
    <col collapsed="false" customWidth="true" hidden="false" outlineLevel="0" max="7" min="7" style="1" width="12"/>
    <col collapsed="false" customWidth="true" hidden="false" outlineLevel="0" max="8" min="8" style="1" width="9"/>
    <col collapsed="false" customWidth="true" hidden="false" outlineLevel="0" max="9" min="9" style="1" width="12"/>
    <col collapsed="false" customWidth="true" hidden="false" outlineLevel="0" max="10" min="10" style="1" width="8"/>
  </cols>
  <sheetData>
    <row r="1" customFormat="false" ht="36" hidden="false" customHeight="true" outlineLevel="0" collapsed="false">
      <c r="A1" s="2" t="s">
        <v>25</v>
      </c>
      <c r="B1" s="2"/>
      <c r="C1" s="2"/>
      <c r="D1" s="2"/>
      <c r="E1" s="2"/>
      <c r="F1" s="2"/>
      <c r="G1" s="2"/>
      <c r="H1" s="2"/>
      <c r="I1" s="2"/>
      <c r="J1" s="2"/>
    </row>
    <row r="3" customFormat="false" ht="21.75" hidden="false" customHeight="true" outlineLevel="0" collapsed="false">
      <c r="A3" s="10" t="s">
        <v>26</v>
      </c>
      <c r="B3" s="10"/>
      <c r="C3" s="10"/>
      <c r="D3" s="10"/>
      <c r="E3" s="10"/>
      <c r="F3" s="10"/>
      <c r="G3" s="10"/>
      <c r="H3" s="10"/>
      <c r="I3" s="10"/>
      <c r="J3" s="10"/>
    </row>
    <row r="4" customFormat="false" ht="25.5" hidden="false" customHeight="true" outlineLevel="0" collapsed="false">
      <c r="A4" s="11" t="s">
        <v>27</v>
      </c>
      <c r="B4" s="11" t="s">
        <v>28</v>
      </c>
      <c r="C4" s="11" t="s">
        <v>29</v>
      </c>
      <c r="D4" s="11" t="s">
        <v>30</v>
      </c>
      <c r="E4" s="11" t="s">
        <v>31</v>
      </c>
      <c r="F4" s="11" t="s">
        <v>32</v>
      </c>
      <c r="G4" s="11" t="s">
        <v>33</v>
      </c>
      <c r="H4" s="11" t="s">
        <v>34</v>
      </c>
    </row>
    <row r="5" customFormat="false" ht="21.75" hidden="false" customHeight="true" outlineLevel="0" collapsed="false">
      <c r="A5" s="12" t="s">
        <v>3</v>
      </c>
      <c r="B5" s="13" t="n">
        <f aca="false">SUMPRODUCT((Raw_Data!A3:A38&lt;&gt;"")*Raw_Data!C3:C38)</f>
        <v>232500</v>
      </c>
      <c r="C5" s="14" t="s">
        <v>35</v>
      </c>
      <c r="D5" s="14" t="s">
        <v>36</v>
      </c>
      <c r="E5" s="14" t="s">
        <v>36</v>
      </c>
      <c r="F5" s="14" t="s">
        <v>35</v>
      </c>
      <c r="G5" s="14" t="s">
        <v>36</v>
      </c>
      <c r="H5" s="14" t="s">
        <v>37</v>
      </c>
    </row>
    <row r="6" customFormat="false" ht="21.75" hidden="false" customHeight="true" outlineLevel="0" collapsed="false">
      <c r="A6" s="15" t="s">
        <v>4</v>
      </c>
      <c r="B6" s="16" t="n">
        <f aca="false">SUMPRODUCT(Raw_Data!D3:D38)</f>
        <v>16850</v>
      </c>
      <c r="C6" s="17" t="n">
        <f aca="false">B6/B5</f>
        <v>0.0724731182795699</v>
      </c>
      <c r="D6" s="17" t="n">
        <f aca="false">B6/B5</f>
        <v>0.0724731182795699</v>
      </c>
      <c r="E6" s="17" t="n">
        <f aca="false">1-D6</f>
        <v>0.92752688172043</v>
      </c>
      <c r="F6" s="18" t="s">
        <v>38</v>
      </c>
      <c r="G6" s="17" t="n">
        <f aca="false">D6-0.1</f>
        <v>-0.0275268817204301</v>
      </c>
      <c r="H6" s="18" t="str">
        <f aca="false">IF(D6&gt;=0.12,"✅ On Target",IF(D6&gt;=0.08,"⚠️ Near Target","❌ Below Target"))</f>
        <v>❌ Below Target</v>
      </c>
    </row>
    <row r="7" customFormat="false" ht="21.75" hidden="false" customHeight="true" outlineLevel="0" collapsed="false">
      <c r="A7" s="19" t="s">
        <v>5</v>
      </c>
      <c r="B7" s="20" t="n">
        <f aca="false">SUMPRODUCT(Raw_Data!E3:E38)</f>
        <v>5061</v>
      </c>
      <c r="C7" s="21" t="n">
        <f aca="false">B7/B5</f>
        <v>0.0217677419354839</v>
      </c>
      <c r="D7" s="21" t="n">
        <f aca="false">B7/B6</f>
        <v>0.300356083086053</v>
      </c>
      <c r="E7" s="21" t="n">
        <f aca="false">1-D7</f>
        <v>0.699643916913947</v>
      </c>
      <c r="F7" s="22" t="s">
        <v>39</v>
      </c>
      <c r="G7" s="21" t="n">
        <f aca="false">D7-0.3</f>
        <v>0.000356083086053449</v>
      </c>
      <c r="H7" s="22" t="str">
        <f aca="false">IF(D7&gt;=0.35,"✅ On Target",IF(D7&gt;=0.25,"⚠️ Near Target","❌ Below Target"))</f>
        <v>⚠️ Near Target</v>
      </c>
    </row>
    <row r="8" customFormat="false" ht="21.75" hidden="false" customHeight="true" outlineLevel="0" collapsed="false">
      <c r="A8" s="23" t="s">
        <v>6</v>
      </c>
      <c r="B8" s="24" t="n">
        <f aca="false">SUMPRODUCT(Raw_Data!F3:F38)</f>
        <v>2027</v>
      </c>
      <c r="C8" s="25" t="n">
        <f aca="false">B8/B5</f>
        <v>0.00871827956989247</v>
      </c>
      <c r="D8" s="25" t="n">
        <f aca="false">B8/B7</f>
        <v>0.40051373246394</v>
      </c>
      <c r="E8" s="25" t="n">
        <f aca="false">1-D8</f>
        <v>0.59948626753606</v>
      </c>
      <c r="F8" s="26" t="s">
        <v>40</v>
      </c>
      <c r="G8" s="25" t="n">
        <f aca="false">D8-0.4</f>
        <v>0.000513732463939931</v>
      </c>
      <c r="H8" s="26" t="str">
        <f aca="false">IF(D8&gt;=0.45,"✅ On Target",IF(D8&gt;=0.35,"⚠️ Near Target","❌ Below Target"))</f>
        <v>⚠️ Near Target</v>
      </c>
    </row>
    <row r="9" customFormat="false" ht="21.75" hidden="false" customHeight="true" outlineLevel="0" collapsed="false">
      <c r="A9" s="27" t="s">
        <v>7</v>
      </c>
      <c r="B9" s="28" t="n">
        <f aca="false">SUMPRODUCT(Raw_Data!G3:G38)</f>
        <v>811</v>
      </c>
      <c r="C9" s="29" t="n">
        <f aca="false">B9/B5</f>
        <v>0.00348817204301075</v>
      </c>
      <c r="D9" s="29" t="n">
        <f aca="false">B9/B8</f>
        <v>0.40009866798224</v>
      </c>
      <c r="E9" s="29" t="n">
        <f aca="false">1-D9</f>
        <v>0.59990133201776</v>
      </c>
      <c r="F9" s="30" t="s">
        <v>40</v>
      </c>
      <c r="G9" s="29" t="n">
        <f aca="false">D9-0.4</f>
        <v>9.86679822397307E-005</v>
      </c>
      <c r="H9" s="30" t="str">
        <f aca="false">IF(D9&gt;=0.45,"✅ On Target",IF(D9&gt;=0.35,"⚠️ Near Target","❌ Below Target"))</f>
        <v>⚠️ Near Target</v>
      </c>
    </row>
    <row r="12" customFormat="false" ht="21.75" hidden="false" customHeight="true" outlineLevel="0" collapsed="false">
      <c r="A12" s="10" t="s">
        <v>41</v>
      </c>
      <c r="B12" s="10"/>
      <c r="C12" s="10"/>
      <c r="D12" s="10"/>
      <c r="E12" s="10"/>
      <c r="F12" s="10"/>
      <c r="G12" s="10"/>
      <c r="H12" s="10"/>
      <c r="I12" s="10"/>
      <c r="J12" s="10"/>
    </row>
    <row r="13" customFormat="false" ht="25.5" hidden="false" customHeight="true" outlineLevel="0" collapsed="false">
      <c r="A13" s="11" t="s">
        <v>2</v>
      </c>
      <c r="B13" s="11" t="s">
        <v>3</v>
      </c>
      <c r="C13" s="11" t="s">
        <v>4</v>
      </c>
      <c r="D13" s="11" t="s">
        <v>7</v>
      </c>
      <c r="E13" s="11" t="s">
        <v>42</v>
      </c>
      <c r="F13" s="11" t="s">
        <v>43</v>
      </c>
      <c r="G13" s="11" t="s">
        <v>44</v>
      </c>
      <c r="H13" s="11" t="s">
        <v>9</v>
      </c>
      <c r="I13" s="11" t="s">
        <v>10</v>
      </c>
      <c r="J13" s="11" t="s">
        <v>45</v>
      </c>
    </row>
    <row r="14" customFormat="false" ht="19.5" hidden="false" customHeight="true" outlineLevel="0" collapsed="false">
      <c r="A14" s="31" t="s">
        <v>14</v>
      </c>
      <c r="B14" s="32" t="n">
        <f aca="false">SUMIF(Raw_Data!B:B,A14,Raw_Data!C:C)</f>
        <v>84400</v>
      </c>
      <c r="C14" s="32" t="n">
        <f aca="false">SUMIF(Raw_Data!B:B,A14,Raw_Data!D:D)</f>
        <v>6330</v>
      </c>
      <c r="D14" s="32" t="n">
        <f aca="false">SUMIF(Raw_Data!B:B,A14,Raw_Data!G:G)</f>
        <v>305</v>
      </c>
      <c r="E14" s="33" t="n">
        <f aca="false">C14/B14</f>
        <v>0.075</v>
      </c>
      <c r="F14" s="33" t="n">
        <f aca="false">D14/C14</f>
        <v>0.0481832543443918</v>
      </c>
      <c r="G14" s="34" t="n">
        <f aca="false">SUMIF(Raw_Data!B:B,A14,Raw_Data!H:H)</f>
        <v>215220</v>
      </c>
      <c r="H14" s="34" t="n">
        <f aca="false">IFERROR(G14/C14,0)</f>
        <v>34</v>
      </c>
      <c r="I14" s="34" t="n">
        <f aca="false">SUMIF(Raw_Data!B:B,A14,Raw_Data!J:J)</f>
        <v>1372500</v>
      </c>
      <c r="J14" s="35" t="n">
        <f aca="false">IFERROR((I14-G14)/G14,0)</f>
        <v>5.37719542793421</v>
      </c>
    </row>
    <row r="15" customFormat="false" ht="19.5" hidden="false" customHeight="true" outlineLevel="0" collapsed="false">
      <c r="A15" s="36" t="s">
        <v>15</v>
      </c>
      <c r="B15" s="37" t="n">
        <f aca="false">SUMIF(Raw_Data!B:B,A15,Raw_Data!C:C)</f>
        <v>56400</v>
      </c>
      <c r="C15" s="37" t="n">
        <f aca="false">SUMIF(Raw_Data!B:B,A15,Raw_Data!D:D)</f>
        <v>4735</v>
      </c>
      <c r="D15" s="37" t="n">
        <f aca="false">SUMIF(Raw_Data!B:B,A15,Raw_Data!G:G)</f>
        <v>228</v>
      </c>
      <c r="E15" s="38" t="n">
        <f aca="false">C15/B15</f>
        <v>0.0839539007092199</v>
      </c>
      <c r="F15" s="38" t="n">
        <f aca="false">D15/C15</f>
        <v>0.0481520591341077</v>
      </c>
      <c r="G15" s="6" t="n">
        <f aca="false">SUMIF(Raw_Data!B:B,A15,Raw_Data!H:H)</f>
        <v>123318</v>
      </c>
      <c r="H15" s="6" t="n">
        <f aca="false">IFERROR(G15/C15,0)</f>
        <v>26.0439281942978</v>
      </c>
      <c r="I15" s="6" t="n">
        <f aca="false">SUMIF(Raw_Data!B:B,A15,Raw_Data!J:J)</f>
        <v>1026000</v>
      </c>
      <c r="J15" s="39" t="n">
        <f aca="false">IFERROR((I15-G15)/G15,0)</f>
        <v>7.31995329149029</v>
      </c>
    </row>
    <row r="16" customFormat="false" ht="19.5" hidden="false" customHeight="true" outlineLevel="0" collapsed="false">
      <c r="A16" s="31" t="s">
        <v>16</v>
      </c>
      <c r="B16" s="32" t="n">
        <f aca="false">SUMIF(Raw_Data!B:B,A16,Raw_Data!C:C)</f>
        <v>34800</v>
      </c>
      <c r="C16" s="32" t="n">
        <f aca="false">SUMIF(Raw_Data!B:B,A16,Raw_Data!D:D)</f>
        <v>2471</v>
      </c>
      <c r="D16" s="32" t="n">
        <f aca="false">SUMIF(Raw_Data!B:B,A16,Raw_Data!G:G)</f>
        <v>119</v>
      </c>
      <c r="E16" s="33" t="n">
        <f aca="false">C16/B16</f>
        <v>0.0710057471264368</v>
      </c>
      <c r="F16" s="33" t="n">
        <f aca="false">D16/C16</f>
        <v>0.0481586402266289</v>
      </c>
      <c r="G16" s="34" t="n">
        <f aca="false">SUMIF(Raw_Data!B:B,A16,Raw_Data!H:H)</f>
        <v>29652</v>
      </c>
      <c r="H16" s="34" t="n">
        <f aca="false">IFERROR(G16/C16,0)</f>
        <v>12</v>
      </c>
      <c r="I16" s="34" t="n">
        <f aca="false">SUMIF(Raw_Data!B:B,A16,Raw_Data!J:J)</f>
        <v>535500</v>
      </c>
      <c r="J16" s="35" t="n">
        <f aca="false">IFERROR((I16-G16)/G16,0)</f>
        <v>17.0594900849858</v>
      </c>
    </row>
    <row r="17" customFormat="false" ht="19.5" hidden="false" customHeight="true" outlineLevel="0" collapsed="false">
      <c r="A17" s="36" t="s">
        <v>17</v>
      </c>
      <c r="B17" s="37" t="n">
        <f aca="false">SUMIF(Raw_Data!B:B,A17,Raw_Data!C:C)</f>
        <v>25800</v>
      </c>
      <c r="C17" s="37" t="n">
        <f aca="false">SUMIF(Raw_Data!B:B,A17,Raw_Data!D:D)</f>
        <v>1109</v>
      </c>
      <c r="D17" s="37" t="n">
        <f aca="false">SUMIF(Raw_Data!B:B,A17,Raw_Data!G:G)</f>
        <v>53</v>
      </c>
      <c r="E17" s="38" t="n">
        <f aca="false">C17/B17</f>
        <v>0.042984496124031</v>
      </c>
      <c r="F17" s="38" t="n">
        <f aca="false">D17/C17</f>
        <v>0.0477908025247971</v>
      </c>
      <c r="G17" s="6" t="n">
        <f aca="false">SUMIF(Raw_Data!B:B,A17,Raw_Data!H:H)</f>
        <v>83155</v>
      </c>
      <c r="H17" s="6" t="n">
        <f aca="false">IFERROR(G17/C17,0)</f>
        <v>74.9819657348963</v>
      </c>
      <c r="I17" s="6" t="n">
        <f aca="false">SUMIF(Raw_Data!B:B,A17,Raw_Data!J:J)</f>
        <v>238500</v>
      </c>
      <c r="J17" s="39" t="n">
        <f aca="false">IFERROR((I17-G17)/G17,0)</f>
        <v>1.86813781492394</v>
      </c>
    </row>
    <row r="18" customFormat="false" ht="19.5" hidden="false" customHeight="true" outlineLevel="0" collapsed="false">
      <c r="A18" s="31" t="s">
        <v>18</v>
      </c>
      <c r="B18" s="32" t="n">
        <f aca="false">SUMIF(Raw_Data!B:B,A18,Raw_Data!C:C)</f>
        <v>11100</v>
      </c>
      <c r="C18" s="32" t="n">
        <f aca="false">SUMIF(Raw_Data!B:B,A18,Raw_Data!D:D)</f>
        <v>1086</v>
      </c>
      <c r="D18" s="32" t="n">
        <f aca="false">SUMIF(Raw_Data!B:B,A18,Raw_Data!G:G)</f>
        <v>52</v>
      </c>
      <c r="E18" s="33" t="n">
        <f aca="false">C18/B18</f>
        <v>0.0978378378378378</v>
      </c>
      <c r="F18" s="33" t="n">
        <f aca="false">D18/C18</f>
        <v>0.0478821362799263</v>
      </c>
      <c r="G18" s="34" t="n">
        <f aca="false">SUMIF(Raw_Data!B:B,A18,Raw_Data!H:H)</f>
        <v>19548</v>
      </c>
      <c r="H18" s="34" t="n">
        <f aca="false">IFERROR(G18/C18,0)</f>
        <v>18</v>
      </c>
      <c r="I18" s="34" t="n">
        <f aca="false">SUMIF(Raw_Data!B:B,A18,Raw_Data!J:J)</f>
        <v>234000</v>
      </c>
      <c r="J18" s="35" t="n">
        <f aca="false">IFERROR((I18-G18)/G18,0)</f>
        <v>10.9705340699816</v>
      </c>
    </row>
    <row r="19" customFormat="false" ht="19.5" hidden="false" customHeight="true" outlineLevel="0" collapsed="false">
      <c r="A19" s="36" t="s">
        <v>19</v>
      </c>
      <c r="B19" s="37" t="n">
        <f aca="false">SUMIF(Raw_Data!B:B,A19,Raw_Data!C:C)</f>
        <v>20000</v>
      </c>
      <c r="C19" s="37" t="n">
        <f aca="false">SUMIF(Raw_Data!B:B,A19,Raw_Data!D:D)</f>
        <v>1119</v>
      </c>
      <c r="D19" s="37" t="n">
        <f aca="false">SUMIF(Raw_Data!B:B,A19,Raw_Data!G:G)</f>
        <v>54</v>
      </c>
      <c r="E19" s="38" t="n">
        <f aca="false">C19/B19</f>
        <v>0.05595</v>
      </c>
      <c r="F19" s="38" t="n">
        <f aca="false">D19/C19</f>
        <v>0.0482573726541555</v>
      </c>
      <c r="G19" s="6" t="n">
        <f aca="false">SUMIF(Raw_Data!B:B,A19,Raw_Data!H:H)</f>
        <v>0</v>
      </c>
      <c r="H19" s="6" t="n">
        <f aca="false">IFERROR(G19/C19,0)</f>
        <v>0</v>
      </c>
      <c r="I19" s="6" t="n">
        <f aca="false">SUMIF(Raw_Data!B:B,A19,Raw_Data!J:J)</f>
        <v>243000</v>
      </c>
      <c r="J19" s="39" t="n">
        <f aca="false">IFERROR((I19-G19)/G19,0)</f>
        <v>0</v>
      </c>
    </row>
    <row r="20" customFormat="false" ht="21.75" hidden="false" customHeight="true" outlineLevel="0" collapsed="false">
      <c r="A20" s="40" t="s">
        <v>46</v>
      </c>
      <c r="B20" s="41" t="n">
        <f aca="false">SUM(B14:B19)</f>
        <v>232500</v>
      </c>
      <c r="C20" s="41" t="n">
        <f aca="false">SUM(C14:C19)</f>
        <v>16850</v>
      </c>
      <c r="D20" s="41" t="n">
        <f aca="false">SUM(D14:D19)</f>
        <v>811</v>
      </c>
      <c r="E20" s="42" t="n">
        <f aca="false">C20/B20</f>
        <v>0.0724731182795699</v>
      </c>
      <c r="F20" s="42" t="n">
        <f aca="false">D20/C20</f>
        <v>0.0481305637982196</v>
      </c>
      <c r="G20" s="43" t="n">
        <f aca="false">SUM(G14:G19)</f>
        <v>470893</v>
      </c>
      <c r="H20" s="43" t="n">
        <f aca="false">IFERROR(G20/C20,0)</f>
        <v>27.9461721068249</v>
      </c>
      <c r="I20" s="43" t="n">
        <f aca="false">SUM(I14:I19)</f>
        <v>3649500</v>
      </c>
      <c r="J20" s="44" t="n">
        <f aca="false">IFERROR((I20-G20)/G20,0)</f>
        <v>6.75016829725649</v>
      </c>
    </row>
  </sheetData>
  <mergeCells count="3">
    <mergeCell ref="A1:J1"/>
    <mergeCell ref="A3:J3"/>
    <mergeCell ref="A12:J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9"/>
    <col collapsed="false" customWidth="true" hidden="false" outlineLevel="0" max="5" min="4" style="1" width="8"/>
    <col collapsed="false" customWidth="true" hidden="false" outlineLevel="0" max="6" min="6" style="1" width="10"/>
    <col collapsed="false" customWidth="true" hidden="false" outlineLevel="0" max="8" min="7" style="1" width="11"/>
  </cols>
  <sheetData>
    <row r="1" customFormat="false" ht="36" hidden="false" customHeight="true" outlineLevel="0" collapsed="false">
      <c r="A1" s="2" t="s">
        <v>47</v>
      </c>
      <c r="B1" s="2"/>
      <c r="C1" s="2"/>
      <c r="D1" s="2"/>
      <c r="E1" s="2"/>
      <c r="F1" s="2"/>
      <c r="G1" s="2"/>
      <c r="H1" s="2"/>
    </row>
    <row r="2" customFormat="false" ht="25.5" hidden="false" customHeight="true" outlineLevel="0" collapsed="false">
      <c r="A2" s="3" t="s">
        <v>1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42</v>
      </c>
      <c r="H2" s="3" t="s">
        <v>43</v>
      </c>
    </row>
    <row r="3" customFormat="false" ht="19.5" hidden="false" customHeight="true" outlineLevel="0" collapsed="false">
      <c r="A3" s="45" t="s">
        <v>13</v>
      </c>
      <c r="B3" s="46" t="n">
        <f aca="false">SUMIF(Raw_Data!A:A,A3,Raw_Data!C:C)</f>
        <v>34000</v>
      </c>
      <c r="C3" s="46" t="n">
        <f aca="false">SUMIF(Raw_Data!A:A,A3,Raw_Data!D:D)</f>
        <v>2462</v>
      </c>
      <c r="D3" s="46" t="n">
        <f aca="false">SUMIF(Raw_Data!A:A,A3,Raw_Data!E:E)</f>
        <v>740</v>
      </c>
      <c r="E3" s="46" t="n">
        <f aca="false">SUMIF(Raw_Data!A:A,A3,Raw_Data!F:F)</f>
        <v>296</v>
      </c>
      <c r="F3" s="46" t="n">
        <f aca="false">SUMIF(Raw_Data!A:A,A3,Raw_Data!G:G)</f>
        <v>120</v>
      </c>
      <c r="G3" s="47" t="n">
        <f aca="false">C3/B3</f>
        <v>0.0724117647058824</v>
      </c>
      <c r="H3" s="47" t="n">
        <f aca="false">F3/C3</f>
        <v>0.0487408610885459</v>
      </c>
    </row>
    <row r="4" customFormat="false" ht="19.5" hidden="false" customHeight="true" outlineLevel="0" collapsed="false">
      <c r="A4" s="36" t="s">
        <v>20</v>
      </c>
      <c r="B4" s="37" t="n">
        <f aca="false">SUMIF(Raw_Data!A:A,A4,Raw_Data!C:C)</f>
        <v>36000</v>
      </c>
      <c r="C4" s="37" t="n">
        <f aca="false">SUMIF(Raw_Data!A:A,A4,Raw_Data!D:D)</f>
        <v>2607</v>
      </c>
      <c r="D4" s="37" t="n">
        <f aca="false">SUMIF(Raw_Data!A:A,A4,Raw_Data!E:E)</f>
        <v>783</v>
      </c>
      <c r="E4" s="37" t="n">
        <f aca="false">SUMIF(Raw_Data!A:A,A4,Raw_Data!F:F)</f>
        <v>314</v>
      </c>
      <c r="F4" s="37" t="n">
        <f aca="false">SUMIF(Raw_Data!A:A,A4,Raw_Data!G:G)</f>
        <v>124</v>
      </c>
      <c r="G4" s="38" t="n">
        <f aca="false">C4/B4</f>
        <v>0.0724166666666667</v>
      </c>
      <c r="H4" s="38" t="n">
        <f aca="false">F4/C4</f>
        <v>0.0475642500958957</v>
      </c>
    </row>
    <row r="5" customFormat="false" ht="19.5" hidden="false" customHeight="true" outlineLevel="0" collapsed="false">
      <c r="A5" s="45" t="s">
        <v>21</v>
      </c>
      <c r="B5" s="46" t="n">
        <f aca="false">SUMIF(Raw_Data!A:A,A5,Raw_Data!C:C)</f>
        <v>38000</v>
      </c>
      <c r="C5" s="46" t="n">
        <f aca="false">SUMIF(Raw_Data!A:A,A5,Raw_Data!D:D)</f>
        <v>2755</v>
      </c>
      <c r="D5" s="46" t="n">
        <f aca="false">SUMIF(Raw_Data!A:A,A5,Raw_Data!E:E)</f>
        <v>828</v>
      </c>
      <c r="E5" s="46" t="n">
        <f aca="false">SUMIF(Raw_Data!A:A,A5,Raw_Data!F:F)</f>
        <v>331</v>
      </c>
      <c r="F5" s="46" t="n">
        <f aca="false">SUMIF(Raw_Data!A:A,A5,Raw_Data!G:G)</f>
        <v>133</v>
      </c>
      <c r="G5" s="47" t="n">
        <f aca="false">C5/B5</f>
        <v>0.0725</v>
      </c>
      <c r="H5" s="47" t="n">
        <f aca="false">F5/C5</f>
        <v>0.0482758620689655</v>
      </c>
    </row>
    <row r="6" customFormat="false" ht="19.5" hidden="false" customHeight="true" outlineLevel="0" collapsed="false">
      <c r="A6" s="36" t="s">
        <v>22</v>
      </c>
      <c r="B6" s="37" t="n">
        <f aca="false">SUMIF(Raw_Data!A:A,A6,Raw_Data!C:C)</f>
        <v>39500</v>
      </c>
      <c r="C6" s="37" t="n">
        <f aca="false">SUMIF(Raw_Data!A:A,A6,Raw_Data!D:D)</f>
        <v>2863</v>
      </c>
      <c r="D6" s="37" t="n">
        <f aca="false">SUMIF(Raw_Data!A:A,A6,Raw_Data!E:E)</f>
        <v>860</v>
      </c>
      <c r="E6" s="37" t="n">
        <f aca="false">SUMIF(Raw_Data!A:A,A6,Raw_Data!F:F)</f>
        <v>344</v>
      </c>
      <c r="F6" s="37" t="n">
        <f aca="false">SUMIF(Raw_Data!A:A,A6,Raw_Data!G:G)</f>
        <v>138</v>
      </c>
      <c r="G6" s="38" t="n">
        <f aca="false">C6/B6</f>
        <v>0.0724810126582278</v>
      </c>
      <c r="H6" s="38" t="n">
        <f aca="false">F6/C6</f>
        <v>0.0482011875654907</v>
      </c>
    </row>
    <row r="7" customFormat="false" ht="19.5" hidden="false" customHeight="true" outlineLevel="0" collapsed="false">
      <c r="A7" s="45" t="s">
        <v>23</v>
      </c>
      <c r="B7" s="46" t="n">
        <f aca="false">SUMIF(Raw_Data!A:A,A7,Raw_Data!C:C)</f>
        <v>41500</v>
      </c>
      <c r="C7" s="46" t="n">
        <f aca="false">SUMIF(Raw_Data!A:A,A7,Raw_Data!D:D)</f>
        <v>3008</v>
      </c>
      <c r="D7" s="46" t="n">
        <f aca="false">SUMIF(Raw_Data!A:A,A7,Raw_Data!E:E)</f>
        <v>902</v>
      </c>
      <c r="E7" s="46" t="n">
        <f aca="false">SUMIF(Raw_Data!A:A,A7,Raw_Data!F:F)</f>
        <v>362</v>
      </c>
      <c r="F7" s="46" t="n">
        <f aca="false">SUMIF(Raw_Data!A:A,A7,Raw_Data!G:G)</f>
        <v>144</v>
      </c>
      <c r="G7" s="47" t="n">
        <f aca="false">C7/B7</f>
        <v>0.0724819277108434</v>
      </c>
      <c r="H7" s="47" t="n">
        <f aca="false">F7/C7</f>
        <v>0.0478723404255319</v>
      </c>
    </row>
    <row r="8" customFormat="false" ht="19.5" hidden="false" customHeight="true" outlineLevel="0" collapsed="false">
      <c r="A8" s="36" t="s">
        <v>24</v>
      </c>
      <c r="B8" s="37" t="n">
        <f aca="false">SUMIF(Raw_Data!A:A,A8,Raw_Data!C:C)</f>
        <v>43500</v>
      </c>
      <c r="C8" s="37" t="n">
        <f aca="false">SUMIF(Raw_Data!A:A,A8,Raw_Data!D:D)</f>
        <v>3155</v>
      </c>
      <c r="D8" s="37" t="n">
        <f aca="false">SUMIF(Raw_Data!A:A,A8,Raw_Data!E:E)</f>
        <v>948</v>
      </c>
      <c r="E8" s="37" t="n">
        <f aca="false">SUMIF(Raw_Data!A:A,A8,Raw_Data!F:F)</f>
        <v>380</v>
      </c>
      <c r="F8" s="37" t="n">
        <f aca="false">SUMIF(Raw_Data!A:A,A8,Raw_Data!G:G)</f>
        <v>152</v>
      </c>
      <c r="G8" s="38" t="n">
        <f aca="false">C8/B8</f>
        <v>0.0725287356321839</v>
      </c>
      <c r="H8" s="38" t="n">
        <f aca="false">F8/C8</f>
        <v>0.0481774960380349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13" min="2" style="1" width="11"/>
  </cols>
  <sheetData>
    <row r="1" customFormat="false" ht="36" hidden="false" customHeight="true" outlineLevel="0" collapsed="false">
      <c r="A1" s="2" t="s">
        <v>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customFormat="false" ht="18" hidden="false" customHeight="true" outlineLevel="0" collapsed="false">
      <c r="A3" s="48" t="s">
        <v>49</v>
      </c>
      <c r="B3" s="48"/>
      <c r="C3" s="49" t="s">
        <v>50</v>
      </c>
      <c r="D3" s="49"/>
      <c r="E3" s="50" t="s">
        <v>51</v>
      </c>
      <c r="F3" s="50"/>
      <c r="G3" s="51" t="s">
        <v>52</v>
      </c>
      <c r="H3" s="51"/>
      <c r="I3" s="52" t="s">
        <v>7</v>
      </c>
      <c r="J3" s="52"/>
      <c r="K3" s="53" t="s">
        <v>42</v>
      </c>
      <c r="L3" s="53"/>
    </row>
    <row r="4" customFormat="false" ht="18" hidden="false" customHeight="true" outlineLevel="0" collapsed="false">
      <c r="A4" s="54" t="n">
        <f aca="false">Funnel_Summary!B5</f>
        <v>232500</v>
      </c>
      <c r="B4" s="54"/>
      <c r="C4" s="55" t="n">
        <f aca="false">Funnel_Summary!B6</f>
        <v>16850</v>
      </c>
      <c r="D4" s="55"/>
      <c r="E4" s="56" t="n">
        <f aca="false">Funnel_Summary!B7</f>
        <v>5061</v>
      </c>
      <c r="F4" s="56"/>
      <c r="G4" s="57" t="n">
        <f aca="false">Funnel_Summary!B8</f>
        <v>2027</v>
      </c>
      <c r="H4" s="57"/>
      <c r="I4" s="58" t="n">
        <f aca="false">Funnel_Summary!B9</f>
        <v>811</v>
      </c>
      <c r="J4" s="58"/>
      <c r="K4" s="59" t="n">
        <f aca="false">Funnel_Summary!D6</f>
        <v>0.0724731182795699</v>
      </c>
      <c r="L4" s="59"/>
    </row>
    <row r="5" customFormat="false" ht="18" hidden="false" customHeight="true" outlineLevel="0" collapsed="false">
      <c r="A5" s="60"/>
      <c r="B5" s="60"/>
      <c r="C5" s="61"/>
      <c r="D5" s="61"/>
      <c r="E5" s="62"/>
      <c r="F5" s="62"/>
      <c r="G5" s="63"/>
      <c r="H5" s="63"/>
      <c r="I5" s="64"/>
      <c r="J5" s="64"/>
      <c r="K5" s="65"/>
      <c r="L5" s="65"/>
    </row>
    <row r="6" customFormat="false" ht="18" hidden="false" customHeight="true" outlineLevel="0" collapsed="false"/>
    <row r="7" customFormat="false" ht="18" hidden="false" customHeight="true" outlineLevel="0" collapsed="false"/>
    <row r="8" customFormat="false" ht="18" hidden="false" customHeight="true" outlineLevel="0" collapsed="false">
      <c r="A8" s="66" t="s">
        <v>53</v>
      </c>
      <c r="B8" s="66"/>
      <c r="C8" s="67" t="s">
        <v>54</v>
      </c>
      <c r="D8" s="67"/>
      <c r="E8" s="68" t="s">
        <v>55</v>
      </c>
      <c r="F8" s="68"/>
      <c r="G8" s="69" t="s">
        <v>56</v>
      </c>
      <c r="H8" s="69"/>
      <c r="I8" s="70" t="s">
        <v>57</v>
      </c>
      <c r="J8" s="70"/>
      <c r="K8" s="71" t="s">
        <v>58</v>
      </c>
      <c r="L8" s="71"/>
    </row>
    <row r="9" customFormat="false" ht="18" hidden="false" customHeight="true" outlineLevel="0" collapsed="false">
      <c r="A9" s="72" t="n">
        <f aca="false">Funnel_Summary!D7</f>
        <v>0.300356083086053</v>
      </c>
      <c r="B9" s="72"/>
      <c r="C9" s="73" t="n">
        <f aca="false">Funnel_Summary!D8</f>
        <v>0.40051373246394</v>
      </c>
      <c r="D9" s="73"/>
      <c r="E9" s="74" t="n">
        <f aca="false">Funnel_Summary!D9</f>
        <v>0.40009866798224</v>
      </c>
      <c r="F9" s="74"/>
      <c r="G9" s="75" t="n">
        <f aca="false">SUM(Funnel_Summary!I14:I19)</f>
        <v>3649500</v>
      </c>
      <c r="H9" s="75"/>
      <c r="I9" s="76" t="n">
        <f aca="false">SUM(Funnel_Summary!G14:G19)</f>
        <v>470893</v>
      </c>
      <c r="J9" s="76"/>
      <c r="K9" s="77" t="n">
        <f aca="false">IFERROR(SUM(Funnel_Summary!G14:G19)/Funnel_Summary!B6,0)</f>
        <v>27.9461721068249</v>
      </c>
      <c r="L9" s="77"/>
    </row>
    <row r="10" customFormat="false" ht="18" hidden="false" customHeight="true" outlineLevel="0" collapsed="false">
      <c r="A10" s="78"/>
      <c r="B10" s="78"/>
      <c r="C10" s="79"/>
      <c r="D10" s="79"/>
      <c r="E10" s="80"/>
      <c r="F10" s="80"/>
      <c r="G10" s="81"/>
      <c r="H10" s="81"/>
      <c r="I10" s="82"/>
      <c r="J10" s="82"/>
      <c r="K10" s="83"/>
      <c r="L10" s="83"/>
    </row>
    <row r="11" customFormat="false" ht="18" hidden="false" customHeight="true" outlineLevel="0" collapsed="false"/>
    <row r="12" customFormat="false" ht="18" hidden="false" customHeight="true" outlineLevel="0" collapsed="false"/>
    <row r="13" customFormat="false" ht="18" hidden="false" customHeight="true" outlineLevel="0" collapsed="false"/>
    <row r="14" customFormat="false" ht="18" hidden="false" customHeight="true" outlineLevel="0" collapsed="false"/>
    <row r="15" customFormat="false" ht="18" hidden="false" customHeight="true" outlineLevel="0" collapsed="false"/>
    <row r="16" customFormat="false" ht="18" hidden="false" customHeight="true" outlineLevel="0" collapsed="false"/>
    <row r="17" customFormat="false" ht="18" hidden="false" customHeight="true" outlineLevel="0" collapsed="false"/>
    <row r="20" customFormat="false" ht="21.75" hidden="false" customHeight="true" outlineLevel="0" collapsed="false">
      <c r="A20" s="10" t="s">
        <v>59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</row>
    <row r="21" customFormat="false" ht="21.75" hidden="false" customHeight="true" outlineLevel="0" collapsed="false">
      <c r="A21" s="84" t="s">
        <v>60</v>
      </c>
      <c r="B21" s="84"/>
      <c r="C21" s="84" t="s">
        <v>61</v>
      </c>
      <c r="D21" s="84"/>
      <c r="E21" s="84"/>
      <c r="F21" s="84" t="s">
        <v>62</v>
      </c>
      <c r="G21" s="84"/>
      <c r="H21" s="84"/>
      <c r="I21" s="84"/>
      <c r="J21" s="84"/>
      <c r="K21" s="84"/>
      <c r="L21" s="84"/>
      <c r="M21" s="84"/>
    </row>
    <row r="22" customFormat="false" ht="21.75" hidden="false" customHeight="true" outlineLevel="0" collapsed="false">
      <c r="A22" s="85" t="s">
        <v>63</v>
      </c>
      <c r="B22" s="85"/>
      <c r="C22" s="86" t="s">
        <v>64</v>
      </c>
      <c r="D22" s="86"/>
      <c r="E22" s="86"/>
      <c r="F22" s="86" t="s">
        <v>65</v>
      </c>
      <c r="G22" s="86"/>
      <c r="H22" s="86"/>
      <c r="I22" s="86"/>
      <c r="J22" s="86"/>
      <c r="K22" s="86"/>
      <c r="L22" s="86"/>
      <c r="M22" s="86"/>
    </row>
    <row r="23" customFormat="false" ht="21.75" hidden="false" customHeight="true" outlineLevel="0" collapsed="false">
      <c r="A23" s="87" t="s">
        <v>66</v>
      </c>
      <c r="B23" s="87"/>
      <c r="C23" s="88" t="s">
        <v>67</v>
      </c>
      <c r="D23" s="88"/>
      <c r="E23" s="88"/>
      <c r="F23" s="88" t="s">
        <v>68</v>
      </c>
      <c r="G23" s="88"/>
      <c r="H23" s="88"/>
      <c r="I23" s="88"/>
      <c r="J23" s="88"/>
      <c r="K23" s="88"/>
      <c r="L23" s="88"/>
      <c r="M23" s="88"/>
    </row>
    <row r="24" customFormat="false" ht="21.75" hidden="false" customHeight="true" outlineLevel="0" collapsed="false">
      <c r="A24" s="87" t="s">
        <v>66</v>
      </c>
      <c r="B24" s="87"/>
      <c r="C24" s="88" t="s">
        <v>69</v>
      </c>
      <c r="D24" s="88"/>
      <c r="E24" s="88"/>
      <c r="F24" s="88" t="s">
        <v>70</v>
      </c>
      <c r="G24" s="88"/>
      <c r="H24" s="88"/>
      <c r="I24" s="88"/>
      <c r="J24" s="88"/>
      <c r="K24" s="88"/>
      <c r="L24" s="88"/>
      <c r="M24" s="88"/>
    </row>
    <row r="25" customFormat="false" ht="21.75" hidden="false" customHeight="true" outlineLevel="0" collapsed="false">
      <c r="A25" s="89" t="s">
        <v>71</v>
      </c>
      <c r="B25" s="89"/>
      <c r="C25" s="90" t="s">
        <v>72</v>
      </c>
      <c r="D25" s="90"/>
      <c r="E25" s="90"/>
      <c r="F25" s="90" t="s">
        <v>73</v>
      </c>
      <c r="G25" s="90"/>
      <c r="H25" s="90"/>
      <c r="I25" s="90"/>
      <c r="J25" s="90"/>
      <c r="K25" s="90"/>
      <c r="L25" s="90"/>
      <c r="M25" s="90"/>
    </row>
    <row r="26" customFormat="false" ht="21.75" hidden="false" customHeight="true" outlineLevel="0" collapsed="false">
      <c r="A26" s="91" t="s">
        <v>74</v>
      </c>
      <c r="B26" s="91"/>
      <c r="C26" s="92" t="s">
        <v>75</v>
      </c>
      <c r="D26" s="92"/>
      <c r="E26" s="92"/>
      <c r="F26" s="92" t="s">
        <v>76</v>
      </c>
      <c r="G26" s="92"/>
      <c r="H26" s="92"/>
      <c r="I26" s="92"/>
      <c r="J26" s="92"/>
      <c r="K26" s="92"/>
      <c r="L26" s="92"/>
      <c r="M26" s="92"/>
    </row>
  </sheetData>
  <mergeCells count="56">
    <mergeCell ref="A1:M1"/>
    <mergeCell ref="A3:B3"/>
    <mergeCell ref="C3:D3"/>
    <mergeCell ref="E3:F3"/>
    <mergeCell ref="G3:H3"/>
    <mergeCell ref="I3:J3"/>
    <mergeCell ref="K3:L3"/>
    <mergeCell ref="A4:B4"/>
    <mergeCell ref="C4:D4"/>
    <mergeCell ref="E4:F4"/>
    <mergeCell ref="G4:H4"/>
    <mergeCell ref="I4:J4"/>
    <mergeCell ref="K4:L4"/>
    <mergeCell ref="A5:B5"/>
    <mergeCell ref="C5:D5"/>
    <mergeCell ref="E5:F5"/>
    <mergeCell ref="G5:H5"/>
    <mergeCell ref="I5:J5"/>
    <mergeCell ref="K5:L5"/>
    <mergeCell ref="A8:B8"/>
    <mergeCell ref="C8:D8"/>
    <mergeCell ref="E8:F8"/>
    <mergeCell ref="G8:H8"/>
    <mergeCell ref="I8:J8"/>
    <mergeCell ref="K8:L8"/>
    <mergeCell ref="A9:B9"/>
    <mergeCell ref="C9:D9"/>
    <mergeCell ref="E9:F9"/>
    <mergeCell ref="G9:H9"/>
    <mergeCell ref="I9:J9"/>
    <mergeCell ref="K9:L9"/>
    <mergeCell ref="A10:B10"/>
    <mergeCell ref="C10:D10"/>
    <mergeCell ref="E10:F10"/>
    <mergeCell ref="G10:H10"/>
    <mergeCell ref="I10:J10"/>
    <mergeCell ref="K10:L10"/>
    <mergeCell ref="A20:M20"/>
    <mergeCell ref="A21:B21"/>
    <mergeCell ref="C21:E21"/>
    <mergeCell ref="F21:M21"/>
    <mergeCell ref="A22:B22"/>
    <mergeCell ref="C22:E22"/>
    <mergeCell ref="F22:M22"/>
    <mergeCell ref="A23:B23"/>
    <mergeCell ref="C23:E23"/>
    <mergeCell ref="F23:M23"/>
    <mergeCell ref="A24:B24"/>
    <mergeCell ref="C24:E24"/>
    <mergeCell ref="F24:M24"/>
    <mergeCell ref="A25:B25"/>
    <mergeCell ref="C25:E25"/>
    <mergeCell ref="F25:M25"/>
    <mergeCell ref="A26:B26"/>
    <mergeCell ref="C26:E26"/>
    <mergeCell ref="F26:M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35"/>
    <col collapsed="false" customWidth="true" hidden="false" outlineLevel="0" max="3" min="3" style="1" width="65"/>
  </cols>
  <sheetData>
    <row r="1" customFormat="false" ht="36" hidden="false" customHeight="true" outlineLevel="0" collapsed="false">
      <c r="A1" s="2" t="s">
        <v>77</v>
      </c>
      <c r="B1" s="2"/>
      <c r="C1" s="2"/>
    </row>
    <row r="3" customFormat="false" ht="21.75" hidden="false" customHeight="true" outlineLevel="0" collapsed="false">
      <c r="A3" s="93" t="s">
        <v>78</v>
      </c>
      <c r="B3" s="93" t="s">
        <v>79</v>
      </c>
      <c r="C3" s="93" t="s">
        <v>80</v>
      </c>
    </row>
    <row r="4" customFormat="false" ht="30" hidden="false" customHeight="true" outlineLevel="0" collapsed="false">
      <c r="A4" s="94" t="s">
        <v>81</v>
      </c>
      <c r="B4" s="94" t="s">
        <v>82</v>
      </c>
      <c r="C4" s="94" t="s">
        <v>83</v>
      </c>
    </row>
    <row r="5" customFormat="false" ht="30" hidden="false" customHeight="true" outlineLevel="0" collapsed="false">
      <c r="A5" s="95" t="s">
        <v>84</v>
      </c>
      <c r="B5" s="95" t="s">
        <v>85</v>
      </c>
      <c r="C5" s="95" t="s">
        <v>86</v>
      </c>
    </row>
    <row r="6" customFormat="false" ht="30" hidden="false" customHeight="true" outlineLevel="0" collapsed="false">
      <c r="A6" s="94" t="s">
        <v>87</v>
      </c>
      <c r="B6" s="94" t="s">
        <v>88</v>
      </c>
      <c r="C6" s="94" t="s">
        <v>89</v>
      </c>
    </row>
    <row r="7" customFormat="false" ht="30" hidden="false" customHeight="true" outlineLevel="0" collapsed="false">
      <c r="A7" s="95" t="s">
        <v>90</v>
      </c>
      <c r="B7" s="95" t="s">
        <v>91</v>
      </c>
      <c r="C7" s="95" t="s">
        <v>92</v>
      </c>
    </row>
    <row r="8" customFormat="false" ht="30" hidden="false" customHeight="true" outlineLevel="0" collapsed="false">
      <c r="A8" s="94" t="s">
        <v>93</v>
      </c>
      <c r="B8" s="94" t="s">
        <v>94</v>
      </c>
      <c r="C8" s="94" t="s">
        <v>95</v>
      </c>
    </row>
    <row r="9" customFormat="false" ht="30" hidden="false" customHeight="true" outlineLevel="0" collapsed="false">
      <c r="A9" s="95" t="s">
        <v>96</v>
      </c>
      <c r="B9" s="95" t="s">
        <v>97</v>
      </c>
      <c r="C9" s="95" t="s">
        <v>98</v>
      </c>
    </row>
    <row r="10" customFormat="false" ht="30" hidden="false" customHeight="true" outlineLevel="0" collapsed="false">
      <c r="A10" s="94" t="s">
        <v>99</v>
      </c>
      <c r="B10" s="94" t="s">
        <v>100</v>
      </c>
      <c r="C10" s="94" t="s">
        <v>101</v>
      </c>
    </row>
    <row r="11" customFormat="false" ht="30" hidden="false" customHeight="true" outlineLevel="0" collapsed="false">
      <c r="A11" s="95" t="s">
        <v>102</v>
      </c>
      <c r="B11" s="95" t="s">
        <v>103</v>
      </c>
      <c r="C11" s="95" t="s">
        <v>104</v>
      </c>
    </row>
    <row r="12" customFormat="false" ht="30" hidden="false" customHeight="true" outlineLevel="0" collapsed="false">
      <c r="A12" s="94" t="s">
        <v>105</v>
      </c>
      <c r="B12" s="94" t="s">
        <v>106</v>
      </c>
      <c r="C12" s="94" t="s">
        <v>107</v>
      </c>
    </row>
    <row r="13" customFormat="false" ht="30" hidden="false" customHeight="true" outlineLevel="0" collapsed="false">
      <c r="A13" s="95" t="s">
        <v>108</v>
      </c>
      <c r="B13" s="95" t="s">
        <v>109</v>
      </c>
      <c r="C13" s="95" t="s">
        <v>110</v>
      </c>
    </row>
    <row r="14" customFormat="false" ht="30" hidden="false" customHeight="true" outlineLevel="0" collapsed="false">
      <c r="A14" s="94" t="s">
        <v>111</v>
      </c>
      <c r="B14" s="94" t="s">
        <v>112</v>
      </c>
      <c r="C14" s="94" t="s">
        <v>113</v>
      </c>
    </row>
    <row r="15" customFormat="false" ht="30" hidden="false" customHeight="true" outlineLevel="0" collapsed="false">
      <c r="A15" s="95"/>
      <c r="B15" s="95"/>
      <c r="C15" s="95"/>
    </row>
    <row r="16" customFormat="false" ht="30" hidden="false" customHeight="true" outlineLevel="0" collapsed="false">
      <c r="A16" s="93" t="s">
        <v>114</v>
      </c>
      <c r="B16" s="93" t="s">
        <v>115</v>
      </c>
      <c r="C16" s="96" t="s">
        <v>116</v>
      </c>
    </row>
    <row r="17" customFormat="false" ht="30" hidden="false" customHeight="true" outlineLevel="0" collapsed="false">
      <c r="A17" s="95" t="s">
        <v>117</v>
      </c>
      <c r="B17" s="95" t="s">
        <v>118</v>
      </c>
      <c r="C17" s="95" t="s">
        <v>118</v>
      </c>
    </row>
    <row r="18" customFormat="false" ht="30" hidden="false" customHeight="true" outlineLevel="0" collapsed="false">
      <c r="A18" s="94" t="s">
        <v>119</v>
      </c>
      <c r="B18" s="94" t="s">
        <v>120</v>
      </c>
      <c r="C18" s="94" t="s">
        <v>120</v>
      </c>
    </row>
    <row r="19" customFormat="false" ht="30" hidden="false" customHeight="true" outlineLevel="0" collapsed="false">
      <c r="A19" s="95" t="s">
        <v>56</v>
      </c>
      <c r="B19" s="95" t="s">
        <v>121</v>
      </c>
      <c r="C19" s="95" t="s">
        <v>121</v>
      </c>
    </row>
    <row r="20" customFormat="false" ht="30" hidden="false" customHeight="true" outlineLevel="0" collapsed="false">
      <c r="A20" s="94" t="s">
        <v>58</v>
      </c>
      <c r="B20" s="94" t="s">
        <v>122</v>
      </c>
      <c r="C20" s="94" t="s">
        <v>122</v>
      </c>
    </row>
    <row r="21" customFormat="false" ht="30" hidden="false" customHeight="true" outlineLevel="0" collapsed="false">
      <c r="A21" s="95" t="s">
        <v>123</v>
      </c>
      <c r="B21" s="95" t="s">
        <v>124</v>
      </c>
      <c r="C21" s="95" t="s">
        <v>124</v>
      </c>
    </row>
    <row r="22" customFormat="false" ht="30" hidden="false" customHeight="true" outlineLevel="0" collapsed="false">
      <c r="A22" s="94" t="s">
        <v>125</v>
      </c>
      <c r="B22" s="94" t="s">
        <v>126</v>
      </c>
      <c r="C22" s="94" t="s">
        <v>126</v>
      </c>
    </row>
    <row r="23" customFormat="false" ht="30" hidden="false" customHeight="true" outlineLevel="0" collapsed="false">
      <c r="A23" s="95" t="s">
        <v>127</v>
      </c>
      <c r="B23" s="95" t="s">
        <v>128</v>
      </c>
      <c r="C23" s="95" t="s">
        <v>128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2026-06-27T18:21:18Z</dcterms:created>
  <dc:creator>openpyxl</dc:creator>
  <dc:description/>
  <dc:language>en-US</dc:language>
  <cp:lastModifiedBy/>
  <dcterms:modified xsi:type="dcterms:W3CDTF">2026-06-27T18:21:38Z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